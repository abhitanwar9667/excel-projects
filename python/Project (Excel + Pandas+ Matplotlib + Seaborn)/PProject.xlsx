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s\OneDrive\Desktop\Python\MSProject\Files\"/>
    </mc:Choice>
  </mc:AlternateContent>
  <xr:revisionPtr revIDLastSave="0" documentId="13_ncr:1_{11B54E56-C70D-4E33-B18D-E622F38C40D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F10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<sst xmlns="http://schemas.openxmlformats.org/spreadsheetml/2006/main" count="442" uniqueCount="238">
  <si>
    <t>Monthly_sales</t>
  </si>
  <si>
    <t>Monthly_expense</t>
  </si>
  <si>
    <t>EMP001</t>
  </si>
  <si>
    <t>Amit Sharma</t>
  </si>
  <si>
    <t>Delhi</t>
  </si>
  <si>
    <t>Sales</t>
  </si>
  <si>
    <t>EMP002</t>
  </si>
  <si>
    <t>Rahul Verma</t>
  </si>
  <si>
    <t>Noida</t>
  </si>
  <si>
    <t>Marketing</t>
  </si>
  <si>
    <t>EMP003</t>
  </si>
  <si>
    <t>Priya Singh</t>
  </si>
  <si>
    <t>Gurgaon</t>
  </si>
  <si>
    <t>HR</t>
  </si>
  <si>
    <t>EMP004</t>
  </si>
  <si>
    <t>Sneha Gupta</t>
  </si>
  <si>
    <t>Finance</t>
  </si>
  <si>
    <t>EMP005</t>
  </si>
  <si>
    <t>Vikas Mehta</t>
  </si>
  <si>
    <t>Jaipur</t>
  </si>
  <si>
    <t>EMP006</t>
  </si>
  <si>
    <t>Ankit Jain</t>
  </si>
  <si>
    <t>IT</t>
  </si>
  <si>
    <t>EMP007</t>
  </si>
  <si>
    <t>Ritu Arora</t>
  </si>
  <si>
    <t>EMP008</t>
  </si>
  <si>
    <t>Manish Yadav</t>
  </si>
  <si>
    <t>EMP009</t>
  </si>
  <si>
    <t>Neha Kapoor</t>
  </si>
  <si>
    <t>EMP010</t>
  </si>
  <si>
    <t>Deepak Kumar</t>
  </si>
  <si>
    <t>EMP011</t>
  </si>
  <si>
    <t>Raj Malhotra</t>
  </si>
  <si>
    <t>EMP012</t>
  </si>
  <si>
    <t>Karan Khanna</t>
  </si>
  <si>
    <t>EMP013</t>
  </si>
  <si>
    <t>Shreya Sinha</t>
  </si>
  <si>
    <t>EMP014</t>
  </si>
  <si>
    <t>Alok Pandey</t>
  </si>
  <si>
    <t>EMP015</t>
  </si>
  <si>
    <t>Pooja Bansal</t>
  </si>
  <si>
    <t>EMP016</t>
  </si>
  <si>
    <t>Ashish Saxena</t>
  </si>
  <si>
    <t>EMP017</t>
  </si>
  <si>
    <t>Rohit Tiwari</t>
  </si>
  <si>
    <t>EMP018</t>
  </si>
  <si>
    <t>Meena Joshi</t>
  </si>
  <si>
    <t>EMP019</t>
  </si>
  <si>
    <t>Nitin Aggarwal</t>
  </si>
  <si>
    <t>EMP020</t>
  </si>
  <si>
    <t>Arjun Rana</t>
  </si>
  <si>
    <t>EMP021</t>
  </si>
  <si>
    <t>Divya Chauhan</t>
  </si>
  <si>
    <t>EMP022</t>
  </si>
  <si>
    <t>Varun Bhatt</t>
  </si>
  <si>
    <t>EMP023</t>
  </si>
  <si>
    <t>Anjali Mehra</t>
  </si>
  <si>
    <t>EMP024</t>
  </si>
  <si>
    <t>Sachin Yadav</t>
  </si>
  <si>
    <t>EMP025</t>
  </si>
  <si>
    <t>Tanya Kapoor</t>
  </si>
  <si>
    <t>EMP026</t>
  </si>
  <si>
    <t>Harsh Arora</t>
  </si>
  <si>
    <t>EMP027</t>
  </si>
  <si>
    <t>Pankaj Sharma</t>
  </si>
  <si>
    <t>EMP028</t>
  </si>
  <si>
    <t>Riya Verma</t>
  </si>
  <si>
    <t>EMP029</t>
  </si>
  <si>
    <t>Kunal Batra</t>
  </si>
  <si>
    <t>EMP030</t>
  </si>
  <si>
    <t>Simran Gill</t>
  </si>
  <si>
    <t>EMP031</t>
  </si>
  <si>
    <t>Aman Kapoor</t>
  </si>
  <si>
    <t>EMP032</t>
  </si>
  <si>
    <t>Sonia Malik</t>
  </si>
  <si>
    <t>EMP033</t>
  </si>
  <si>
    <t>Ajay Singh</t>
  </si>
  <si>
    <t>EMP034</t>
  </si>
  <si>
    <t>Nisha Arora</t>
  </si>
  <si>
    <t>EMP035</t>
  </si>
  <si>
    <t>Vivek Tandon</t>
  </si>
  <si>
    <t>EMP036</t>
  </si>
  <si>
    <t>Sunil Chauhan</t>
  </si>
  <si>
    <t>EMP037</t>
  </si>
  <si>
    <t>Payal Gupta</t>
  </si>
  <si>
    <t>EMP038</t>
  </si>
  <si>
    <t>Kabir Sethi</t>
  </si>
  <si>
    <t>EMP039</t>
  </si>
  <si>
    <t>Rajeev Nair</t>
  </si>
  <si>
    <t>EMP040</t>
  </si>
  <si>
    <t>Ishita Roy</t>
  </si>
  <si>
    <t>EMP041</t>
  </si>
  <si>
    <t>Mohit Arora</t>
  </si>
  <si>
    <t>EMP042</t>
  </si>
  <si>
    <t>Ananya Sen</t>
  </si>
  <si>
    <t>EMP043</t>
  </si>
  <si>
    <t>Rahul Dutta</t>
  </si>
  <si>
    <t>EMP044</t>
  </si>
  <si>
    <t>Neeraj Soni</t>
  </si>
  <si>
    <t>EMP045</t>
  </si>
  <si>
    <t>Kritika Jain</t>
  </si>
  <si>
    <t>EMP046</t>
  </si>
  <si>
    <t>Sahil Khurana</t>
  </si>
  <si>
    <t>EMP047</t>
  </si>
  <si>
    <t>Ritika Sharma</t>
  </si>
  <si>
    <t>EMP048</t>
  </si>
  <si>
    <t>Yash Gupta</t>
  </si>
  <si>
    <t>EMP049</t>
  </si>
  <si>
    <t>Dev Malhotra</t>
  </si>
  <si>
    <t>EMP050</t>
  </si>
  <si>
    <t>Aditi Kapoor</t>
  </si>
  <si>
    <t>EMP051</t>
  </si>
  <si>
    <t>Karan Saini</t>
  </si>
  <si>
    <t>EMP052</t>
  </si>
  <si>
    <t>Naveen Bhatia</t>
  </si>
  <si>
    <t>EMP053</t>
  </si>
  <si>
    <t>Komal Arora</t>
  </si>
  <si>
    <t>EMP054</t>
  </si>
  <si>
    <t>Rohit Bansal</t>
  </si>
  <si>
    <t>EMP055</t>
  </si>
  <si>
    <t>Tarun Yadav</t>
  </si>
  <si>
    <t>EMP056</t>
  </si>
  <si>
    <t>Nikita Sood</t>
  </si>
  <si>
    <t>EMP057</t>
  </si>
  <si>
    <t>Aman Gupta</t>
  </si>
  <si>
    <t>EMP058</t>
  </si>
  <si>
    <t>Rajat Jain</t>
  </si>
  <si>
    <t>EMP059</t>
  </si>
  <si>
    <t>Pooja Sharma</t>
  </si>
  <si>
    <t>EMP060</t>
  </si>
  <si>
    <t>Manav Kapoor</t>
  </si>
  <si>
    <t>EMP061</t>
  </si>
  <si>
    <t>Deepika Singh</t>
  </si>
  <si>
    <t>EMP062</t>
  </si>
  <si>
    <t>Ashok Rana</t>
  </si>
  <si>
    <t>EMP063</t>
  </si>
  <si>
    <t>Megha Batra</t>
  </si>
  <si>
    <t>EMP064</t>
  </si>
  <si>
    <t>Sachin Jain</t>
  </si>
  <si>
    <t>EMP065</t>
  </si>
  <si>
    <t>Neha Saini</t>
  </si>
  <si>
    <t>EMP066</t>
  </si>
  <si>
    <t>Abhishek Tiwari</t>
  </si>
  <si>
    <t>EMP067</t>
  </si>
  <si>
    <t>Riya Khanna</t>
  </si>
  <si>
    <t>EMP068</t>
  </si>
  <si>
    <t>Kunal Sharma</t>
  </si>
  <si>
    <t>EMP069</t>
  </si>
  <si>
    <t>Tanvi Kapoor</t>
  </si>
  <si>
    <t>EMP070</t>
  </si>
  <si>
    <t>Ajit Yadav</t>
  </si>
  <si>
    <t>EMP071</t>
  </si>
  <si>
    <t>Nisha Verma</t>
  </si>
  <si>
    <t>EMP072</t>
  </si>
  <si>
    <t>Varun Singh</t>
  </si>
  <si>
    <t>EMP073</t>
  </si>
  <si>
    <t>Ritika Mehta</t>
  </si>
  <si>
    <t>EMP074</t>
  </si>
  <si>
    <t>Rahul Kapoor</t>
  </si>
  <si>
    <t>EMP075</t>
  </si>
  <si>
    <t>Aditi Verma</t>
  </si>
  <si>
    <t>EMP076</t>
  </si>
  <si>
    <t>Vikas Khanna</t>
  </si>
  <si>
    <t>EMP077</t>
  </si>
  <si>
    <t>Priya Arora</t>
  </si>
  <si>
    <t>EMP078</t>
  </si>
  <si>
    <t>Karan Mehta</t>
  </si>
  <si>
    <t>EMP079</t>
  </si>
  <si>
    <t>Ashish Kumar</t>
  </si>
  <si>
    <t>EMP080</t>
  </si>
  <si>
    <t>Simran Kaur</t>
  </si>
  <si>
    <t>EMP081</t>
  </si>
  <si>
    <t>Rohit Kapoor</t>
  </si>
  <si>
    <t>EMP082</t>
  </si>
  <si>
    <t>Neha Jain</t>
  </si>
  <si>
    <t>EMP083</t>
  </si>
  <si>
    <t>Deepak Verma</t>
  </si>
  <si>
    <t>EMP084</t>
  </si>
  <si>
    <t>Anjali Gupta</t>
  </si>
  <si>
    <t>EMP085</t>
  </si>
  <si>
    <t>Sachin Arora</t>
  </si>
  <si>
    <t>EMP086</t>
  </si>
  <si>
    <t>Ritu Kapoor</t>
  </si>
  <si>
    <t>EMP087</t>
  </si>
  <si>
    <t>Kunal Jain</t>
  </si>
  <si>
    <t>EMP088</t>
  </si>
  <si>
    <t>Vivek Sharma</t>
  </si>
  <si>
    <t>EMP089</t>
  </si>
  <si>
    <t>Pooja Verma</t>
  </si>
  <si>
    <t>EMP090</t>
  </si>
  <si>
    <t>Rajat Malhotra</t>
  </si>
  <si>
    <t>EMP091</t>
  </si>
  <si>
    <t>Nikita Gupta</t>
  </si>
  <si>
    <t>EMP092</t>
  </si>
  <si>
    <t>Aman Singh</t>
  </si>
  <si>
    <t>EMP093</t>
  </si>
  <si>
    <t>Megha Sharma</t>
  </si>
  <si>
    <t>EMP094</t>
  </si>
  <si>
    <t>Rahul Jain</t>
  </si>
  <si>
    <t>EMP095</t>
  </si>
  <si>
    <t>Ananya Kapoor</t>
  </si>
  <si>
    <t>EMP096</t>
  </si>
  <si>
    <t>Sahil Verma</t>
  </si>
  <si>
    <t>EMP097</t>
  </si>
  <si>
    <t>Rohit Yadav</t>
  </si>
  <si>
    <t>EMP098</t>
  </si>
  <si>
    <t>Neha Arora</t>
  </si>
  <si>
    <t>EMP099</t>
  </si>
  <si>
    <t>Karan Gupta</t>
  </si>
  <si>
    <t>EMP100</t>
  </si>
  <si>
    <t>Priya Kapoor</t>
  </si>
  <si>
    <t>Employee_id</t>
  </si>
  <si>
    <t>Name</t>
  </si>
  <si>
    <t>Age</t>
  </si>
  <si>
    <t>City</t>
  </si>
  <si>
    <t>Department</t>
  </si>
  <si>
    <t>Salary</t>
  </si>
  <si>
    <t>Experience_years</t>
  </si>
  <si>
    <t>Performance_score</t>
  </si>
  <si>
    <t>Join_date</t>
  </si>
  <si>
    <t>Profit</t>
  </si>
  <si>
    <t>Emp</t>
  </si>
  <si>
    <t>emp_name</t>
  </si>
  <si>
    <t>emp_age</t>
  </si>
  <si>
    <t>emp_salary</t>
  </si>
  <si>
    <t>city_name</t>
  </si>
  <si>
    <t>dept_name</t>
  </si>
  <si>
    <t>emp_exp_years</t>
  </si>
  <si>
    <t>emp_performance_score</t>
  </si>
  <si>
    <t>emp_join_date</t>
  </si>
  <si>
    <t>emp_id (PK)</t>
  </si>
  <si>
    <t>city_id (FK)</t>
  </si>
  <si>
    <t>dept_id (FK)</t>
  </si>
  <si>
    <t>emp_profit</t>
  </si>
  <si>
    <t>emp_monthly_sales</t>
  </si>
  <si>
    <t>emp_monthly_expense</t>
  </si>
  <si>
    <t>city_id (PK)</t>
  </si>
  <si>
    <t>dept_id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</si>
</sst>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workbookViewId="0">
      <selection sqref="A1:L1"/>
    </sheetView>
  </sheetViews>
  <sheetFormatPr defaultRowHeight="14.5"/>
  <cols>
    <col min="1" max="1" width="13.81640625" bestFit="1" customWidth="1"/>
    <col min="2" max="2" width="14.08984375" bestFit="1" customWidth="1"/>
    <col min="3" max="3" width="8.453125" bestFit="1" customWidth="1"/>
    <col min="4" max="4" width="8.54296875" bestFit="1" customWidth="1"/>
    <col min="5" max="5" width="13.1796875" bestFit="1" customWidth="1"/>
    <col min="6" max="6" width="8.08984375" bestFit="1" customWidth="1"/>
    <col min="7" max="7" width="17.7265625" bestFit="1" customWidth="1"/>
    <col min="8" max="8" width="19.453125" bestFit="1" customWidth="1"/>
    <col min="9" max="9" width="7.6328125" bestFit="1" customWidth="1"/>
    <col min="10" max="10" width="15.26953125" bestFit="1" customWidth="1"/>
    <col min="11" max="11" width="18.08984375" bestFit="1" customWidth="1"/>
    <col min="12" max="12" width="11.08984375" bestFit="1" customWidth="1"/>
  </cols>
  <sheetData>
    <row r="1" spans="1:12">
      <c r="A1" s="4" t="s">
        <v>211</v>
      </c>
      <c r="B1" s="5" t="s">
        <v>212</v>
      </c>
      <c r="C1" s="5" t="s">
        <v>213</v>
      </c>
      <c r="D1" s="5" t="s">
        <v>214</v>
      </c>
      <c r="E1" s="4" t="s">
        <v>215</v>
      </c>
      <c r="F1" s="4" t="s">
        <v>216</v>
      </c>
      <c r="G1" s="4" t="s">
        <v>217</v>
      </c>
      <c r="H1" s="4" t="s">
        <v>218</v>
      </c>
      <c r="I1" s="4" t="s">
        <v>220</v>
      </c>
      <c r="J1" s="4" t="s">
        <v>0</v>
      </c>
      <c r="K1" s="4" t="s">
        <v>1</v>
      </c>
      <c r="L1" s="4" t="s">
        <v>219</v>
      </c>
    </row>
    <row r="2" spans="1:12">
      <c r="A2" s="1" t="s">
        <v>2</v>
      </c>
      <c r="B2" s="2" t="s">
        <v>3</v>
      </c>
      <c r="C2" s="2">
        <v>28</v>
      </c>
      <c r="D2" s="2" t="s">
        <v>4</v>
      </c>
      <c r="E2" s="2" t="s">
        <v>5</v>
      </c>
      <c r="F2" s="2">
        <v>45000</v>
      </c>
      <c r="G2" s="2">
        <v>4</v>
      </c>
      <c r="H2" s="2">
        <v>8.5</v>
      </c>
      <c r="I2" s="2">
        <f>(J2*5/100)</f>
        <v>6000</v>
      </c>
      <c r="J2" s="2">
        <v>120000</v>
      </c>
      <c r="K2" s="2">
        <v>40000</v>
      </c>
      <c r="L2" s="3">
        <v>44270</v>
      </c>
    </row>
    <row r="3" spans="1:12">
      <c r="A3" s="1" t="s">
        <v>6</v>
      </c>
      <c r="B3" s="2" t="s">
        <v>7</v>
      </c>
      <c r="C3" s="2">
        <v>32</v>
      </c>
      <c r="D3" s="2" t="s">
        <v>8</v>
      </c>
      <c r="E3" s="2" t="s">
        <v>9</v>
      </c>
      <c r="F3" s="2">
        <v>52000</v>
      </c>
      <c r="G3" s="2">
        <v>6</v>
      </c>
      <c r="H3" s="2">
        <v>8.1999999999999993</v>
      </c>
      <c r="I3" s="2">
        <f t="shared" ref="I3:I66" si="0">(J3*5/100)</f>
        <v>4900</v>
      </c>
      <c r="J3" s="2">
        <v>98000</v>
      </c>
      <c r="K3" s="2">
        <v>35000</v>
      </c>
      <c r="L3" s="3">
        <v>43656</v>
      </c>
    </row>
    <row r="4" spans="1:12">
      <c r="A4" s="1" t="s">
        <v>10</v>
      </c>
      <c r="B4" s="2" t="s">
        <v>11</v>
      </c>
      <c r="C4" s="2">
        <v>26</v>
      </c>
      <c r="D4" s="2" t="s">
        <v>12</v>
      </c>
      <c r="E4" s="2" t="s">
        <v>13</v>
      </c>
      <c r="F4" s="2">
        <v>42000</v>
      </c>
      <c r="G4" s="2">
        <v>3</v>
      </c>
      <c r="H4" s="2">
        <v>7.9</v>
      </c>
      <c r="I4" s="2">
        <f t="shared" si="0"/>
        <v>0</v>
      </c>
      <c r="J4" s="2">
        <v>0</v>
      </c>
      <c r="K4" s="2">
        <v>20000</v>
      </c>
      <c r="L4" s="3">
        <v>44566</v>
      </c>
    </row>
    <row r="5" spans="1:12">
      <c r="A5" s="1" t="s">
        <v>14</v>
      </c>
      <c r="B5" s="2" t="s">
        <v>15</v>
      </c>
      <c r="C5" s="2">
        <v>30</v>
      </c>
      <c r="D5" s="2" t="s">
        <v>4</v>
      </c>
      <c r="E5" s="2" t="s">
        <v>16</v>
      </c>
      <c r="F5" s="2">
        <v>56000</v>
      </c>
      <c r="G5" s="2">
        <v>7</v>
      </c>
      <c r="H5" s="2">
        <v>8.8000000000000007</v>
      </c>
      <c r="I5" s="2">
        <f t="shared" si="0"/>
        <v>0</v>
      </c>
      <c r="J5" s="2">
        <v>0</v>
      </c>
      <c r="K5" s="2">
        <v>30000</v>
      </c>
      <c r="L5" s="3">
        <v>43424</v>
      </c>
    </row>
    <row r="6" spans="1:12">
      <c r="A6" s="1" t="s">
        <v>17</v>
      </c>
      <c r="B6" s="2" t="s">
        <v>18</v>
      </c>
      <c r="C6" s="2">
        <v>35</v>
      </c>
      <c r="D6" s="2" t="s">
        <v>19</v>
      </c>
      <c r="E6" s="2" t="s">
        <v>5</v>
      </c>
      <c r="F6" s="2">
        <v>61000</v>
      </c>
      <c r="G6" s="2">
        <v>10</v>
      </c>
      <c r="H6" s="2">
        <v>9.1</v>
      </c>
      <c r="I6" s="2">
        <f t="shared" si="0"/>
        <v>7500</v>
      </c>
      <c r="J6" s="2">
        <v>150000</v>
      </c>
      <c r="K6" s="2">
        <v>50000</v>
      </c>
      <c r="L6" s="3">
        <v>42625</v>
      </c>
    </row>
    <row r="7" spans="1:12">
      <c r="A7" s="1" t="s">
        <v>20</v>
      </c>
      <c r="B7" s="2" t="s">
        <v>21</v>
      </c>
      <c r="C7" s="2">
        <v>29</v>
      </c>
      <c r="D7" s="2" t="s">
        <v>8</v>
      </c>
      <c r="E7" s="2" t="s">
        <v>22</v>
      </c>
      <c r="F7" s="2">
        <v>48000</v>
      </c>
      <c r="G7" s="2">
        <v>5</v>
      </c>
      <c r="H7" s="2">
        <v>8.3000000000000007</v>
      </c>
      <c r="I7" s="2">
        <f t="shared" si="0"/>
        <v>0</v>
      </c>
      <c r="J7" s="2">
        <v>0</v>
      </c>
      <c r="K7" s="2">
        <v>25000</v>
      </c>
      <c r="L7" s="3">
        <v>44000</v>
      </c>
    </row>
    <row r="8" spans="1:12">
      <c r="A8" s="1" t="s">
        <v>23</v>
      </c>
      <c r="B8" s="2" t="s">
        <v>24</v>
      </c>
      <c r="C8" s="2">
        <v>31</v>
      </c>
      <c r="D8" s="2" t="s">
        <v>4</v>
      </c>
      <c r="E8" s="2" t="s">
        <v>9</v>
      </c>
      <c r="F8" s="2">
        <v>54000</v>
      </c>
      <c r="G8" s="2">
        <v>7</v>
      </c>
      <c r="H8" s="2">
        <v>8</v>
      </c>
      <c r="I8" s="2">
        <f t="shared" si="0"/>
        <v>5100</v>
      </c>
      <c r="J8" s="2">
        <v>102000</v>
      </c>
      <c r="K8" s="2">
        <v>38000</v>
      </c>
      <c r="L8" s="3">
        <v>43142</v>
      </c>
    </row>
    <row r="9" spans="1:12">
      <c r="A9" s="1" t="s">
        <v>25</v>
      </c>
      <c r="B9" s="2" t="s">
        <v>26</v>
      </c>
      <c r="C9" s="2">
        <v>27</v>
      </c>
      <c r="D9" s="2" t="s">
        <v>12</v>
      </c>
      <c r="E9" s="2" t="s">
        <v>5</v>
      </c>
      <c r="F9" s="2">
        <v>44000</v>
      </c>
      <c r="G9" s="2">
        <v>4</v>
      </c>
      <c r="H9" s="2">
        <v>7.8</v>
      </c>
      <c r="I9" s="2">
        <f t="shared" si="0"/>
        <v>4450</v>
      </c>
      <c r="J9" s="2">
        <v>89000</v>
      </c>
      <c r="K9" s="2">
        <v>32000</v>
      </c>
      <c r="L9" s="3">
        <v>44295</v>
      </c>
    </row>
    <row r="10" spans="1:12">
      <c r="A10" s="1" t="s">
        <v>27</v>
      </c>
      <c r="B10" s="2" t="s">
        <v>28</v>
      </c>
      <c r="C10" s="2">
        <v>33</v>
      </c>
      <c r="D10" s="2" t="s">
        <v>4</v>
      </c>
      <c r="E10" s="2" t="s">
        <v>16</v>
      </c>
      <c r="F10" s="2">
        <v>58000</v>
      </c>
      <c r="G10" s="2">
        <v>9</v>
      </c>
      <c r="H10" s="2">
        <v>8.6999999999999993</v>
      </c>
      <c r="I10" s="2">
        <f t="shared" si="0"/>
        <v>0</v>
      </c>
      <c r="J10" s="2">
        <v>0</v>
      </c>
      <c r="K10" s="2">
        <v>29000</v>
      </c>
      <c r="L10" s="3">
        <v>42869</v>
      </c>
    </row>
    <row r="11" spans="1:12">
      <c r="A11" s="1" t="s">
        <v>29</v>
      </c>
      <c r="B11" s="2" t="s">
        <v>30</v>
      </c>
      <c r="C11" s="2">
        <v>36</v>
      </c>
      <c r="D11" s="2" t="s">
        <v>8</v>
      </c>
      <c r="E11" s="2" t="s">
        <v>22</v>
      </c>
      <c r="F11" s="2">
        <v>65000</v>
      </c>
      <c r="G11" s="2">
        <v>11</v>
      </c>
      <c r="H11" s="2">
        <v>9</v>
      </c>
      <c r="I11" s="2">
        <f t="shared" si="0"/>
        <v>0</v>
      </c>
      <c r="J11" s="2">
        <v>0</v>
      </c>
      <c r="K11" s="2">
        <v>35000</v>
      </c>
      <c r="L11" s="3">
        <v>42246</v>
      </c>
    </row>
    <row r="12" spans="1:12">
      <c r="A12" s="1" t="s">
        <v>31</v>
      </c>
      <c r="B12" s="2" t="s">
        <v>32</v>
      </c>
      <c r="C12" s="2">
        <v>28</v>
      </c>
      <c r="D12" s="2" t="s">
        <v>4</v>
      </c>
      <c r="E12" s="2" t="s">
        <v>5</v>
      </c>
      <c r="F12" s="2">
        <v>46000</v>
      </c>
      <c r="G12" s="2">
        <v>4</v>
      </c>
      <c r="H12" s="2">
        <v>8.1</v>
      </c>
      <c r="I12" s="2">
        <f t="shared" si="0"/>
        <v>5750</v>
      </c>
      <c r="J12" s="2">
        <v>115000</v>
      </c>
      <c r="K12" s="2">
        <v>41000</v>
      </c>
      <c r="L12" s="3">
        <v>44247</v>
      </c>
    </row>
    <row r="13" spans="1:12">
      <c r="A13" s="1" t="s">
        <v>33</v>
      </c>
      <c r="B13" s="2" t="s">
        <v>34</v>
      </c>
      <c r="C13" s="2">
        <v>34</v>
      </c>
      <c r="D13" s="2" t="s">
        <v>12</v>
      </c>
      <c r="E13" s="2" t="s">
        <v>9</v>
      </c>
      <c r="F13" s="2">
        <v>60000</v>
      </c>
      <c r="G13" s="2">
        <v>9</v>
      </c>
      <c r="H13" s="2">
        <v>8.6</v>
      </c>
      <c r="I13" s="2">
        <f t="shared" si="0"/>
        <v>4950</v>
      </c>
      <c r="J13" s="2">
        <v>99000</v>
      </c>
      <c r="K13" s="2">
        <v>37000</v>
      </c>
      <c r="L13" s="3">
        <v>42819</v>
      </c>
    </row>
    <row r="14" spans="1:12">
      <c r="A14" s="1" t="s">
        <v>35</v>
      </c>
      <c r="B14" s="2" t="s">
        <v>36</v>
      </c>
      <c r="C14" s="2">
        <v>25</v>
      </c>
      <c r="D14" s="2" t="s">
        <v>4</v>
      </c>
      <c r="E14" s="2" t="s">
        <v>13</v>
      </c>
      <c r="F14" s="2">
        <v>40000</v>
      </c>
      <c r="G14" s="2">
        <v>2</v>
      </c>
      <c r="H14" s="2">
        <v>7.6</v>
      </c>
      <c r="I14" s="2">
        <f t="shared" si="0"/>
        <v>0</v>
      </c>
      <c r="J14" s="2">
        <v>0</v>
      </c>
      <c r="K14" s="2">
        <v>18000</v>
      </c>
      <c r="L14" s="3">
        <v>44943</v>
      </c>
    </row>
    <row r="15" spans="1:12">
      <c r="A15" s="1" t="s">
        <v>37</v>
      </c>
      <c r="B15" s="2" t="s">
        <v>38</v>
      </c>
      <c r="C15" s="2">
        <v>38</v>
      </c>
      <c r="D15" s="2" t="s">
        <v>19</v>
      </c>
      <c r="E15" s="2" t="s">
        <v>16</v>
      </c>
      <c r="F15" s="2">
        <v>67000</v>
      </c>
      <c r="G15" s="2">
        <v>12</v>
      </c>
      <c r="H15" s="2">
        <v>9.1999999999999993</v>
      </c>
      <c r="I15" s="2">
        <f t="shared" si="0"/>
        <v>0</v>
      </c>
      <c r="J15" s="2">
        <v>0</v>
      </c>
      <c r="K15" s="2">
        <v>33000</v>
      </c>
      <c r="L15" s="3">
        <v>41913</v>
      </c>
    </row>
    <row r="16" spans="1:12">
      <c r="A16" s="1" t="s">
        <v>39</v>
      </c>
      <c r="B16" s="2" t="s">
        <v>40</v>
      </c>
      <c r="C16" s="2">
        <v>29</v>
      </c>
      <c r="D16" s="2" t="s">
        <v>8</v>
      </c>
      <c r="E16" s="2" t="s">
        <v>5</v>
      </c>
      <c r="F16" s="2">
        <v>47000</v>
      </c>
      <c r="G16" s="2">
        <v>5</v>
      </c>
      <c r="H16" s="2">
        <v>8.4</v>
      </c>
      <c r="I16" s="2">
        <f t="shared" si="0"/>
        <v>5400</v>
      </c>
      <c r="J16" s="2">
        <v>108000</v>
      </c>
      <c r="K16" s="2">
        <v>39000</v>
      </c>
      <c r="L16" s="3">
        <v>44034</v>
      </c>
    </row>
    <row r="17" spans="1:12">
      <c r="A17" s="1" t="s">
        <v>41</v>
      </c>
      <c r="B17" s="2" t="s">
        <v>42</v>
      </c>
      <c r="C17" s="2">
        <v>31</v>
      </c>
      <c r="D17" s="2" t="s">
        <v>4</v>
      </c>
      <c r="E17" s="2" t="s">
        <v>22</v>
      </c>
      <c r="F17" s="2">
        <v>54000</v>
      </c>
      <c r="G17" s="2">
        <v>8</v>
      </c>
      <c r="H17" s="2">
        <v>8.5</v>
      </c>
      <c r="I17" s="2">
        <f t="shared" si="0"/>
        <v>0</v>
      </c>
      <c r="J17" s="2">
        <v>0</v>
      </c>
      <c r="K17" s="2">
        <v>27000</v>
      </c>
      <c r="L17" s="3">
        <v>43202</v>
      </c>
    </row>
    <row r="18" spans="1:12">
      <c r="A18" s="1" t="s">
        <v>43</v>
      </c>
      <c r="B18" s="2" t="s">
        <v>44</v>
      </c>
      <c r="C18" s="2">
        <v>27</v>
      </c>
      <c r="D18" s="2" t="s">
        <v>12</v>
      </c>
      <c r="E18" s="2" t="s">
        <v>5</v>
      </c>
      <c r="F18" s="2">
        <v>43000</v>
      </c>
      <c r="G18" s="2">
        <v>3</v>
      </c>
      <c r="H18" s="2">
        <v>7.9</v>
      </c>
      <c r="I18" s="2">
        <f t="shared" si="0"/>
        <v>4600</v>
      </c>
      <c r="J18" s="2">
        <v>92000</v>
      </c>
      <c r="K18" s="2">
        <v>30000</v>
      </c>
      <c r="L18" s="3">
        <v>44607</v>
      </c>
    </row>
    <row r="19" spans="1:12">
      <c r="A19" s="1" t="s">
        <v>45</v>
      </c>
      <c r="B19" s="2" t="s">
        <v>46</v>
      </c>
      <c r="C19" s="2">
        <v>35</v>
      </c>
      <c r="D19" s="2" t="s">
        <v>4</v>
      </c>
      <c r="E19" s="2" t="s">
        <v>16</v>
      </c>
      <c r="F19" s="2">
        <v>62000</v>
      </c>
      <c r="G19" s="2">
        <v>10</v>
      </c>
      <c r="H19" s="2">
        <v>8.9</v>
      </c>
      <c r="I19" s="2">
        <f t="shared" si="0"/>
        <v>0</v>
      </c>
      <c r="J19" s="2">
        <v>0</v>
      </c>
      <c r="K19" s="2">
        <v>31000</v>
      </c>
      <c r="L19" s="3">
        <v>42532</v>
      </c>
    </row>
    <row r="20" spans="1:12">
      <c r="A20" s="1" t="s">
        <v>47</v>
      </c>
      <c r="B20" s="2" t="s">
        <v>48</v>
      </c>
      <c r="C20" s="2">
        <v>30</v>
      </c>
      <c r="D20" s="2" t="s">
        <v>8</v>
      </c>
      <c r="E20" s="2" t="s">
        <v>9</v>
      </c>
      <c r="F20" s="2">
        <v>52000</v>
      </c>
      <c r="G20" s="2">
        <v>6</v>
      </c>
      <c r="H20" s="2">
        <v>8.3000000000000007</v>
      </c>
      <c r="I20" s="2">
        <f t="shared" si="0"/>
        <v>4850</v>
      </c>
      <c r="J20" s="2">
        <v>97000</v>
      </c>
      <c r="K20" s="2">
        <v>36000</v>
      </c>
      <c r="L20" s="3">
        <v>43715</v>
      </c>
    </row>
    <row r="21" spans="1:12">
      <c r="A21" s="1" t="s">
        <v>49</v>
      </c>
      <c r="B21" s="2" t="s">
        <v>50</v>
      </c>
      <c r="C21" s="2">
        <v>26</v>
      </c>
      <c r="D21" s="2" t="s">
        <v>4</v>
      </c>
      <c r="E21" s="2" t="s">
        <v>5</v>
      </c>
      <c r="F21" s="2">
        <v>41000</v>
      </c>
      <c r="G21" s="2">
        <v>2</v>
      </c>
      <c r="H21" s="2">
        <v>7.5</v>
      </c>
      <c r="I21" s="2">
        <f t="shared" si="0"/>
        <v>4350</v>
      </c>
      <c r="J21" s="2">
        <v>87000</v>
      </c>
      <c r="K21" s="2">
        <v>29000</v>
      </c>
      <c r="L21" s="3">
        <v>45065</v>
      </c>
    </row>
    <row r="22" spans="1:12">
      <c r="A22" s="1" t="s">
        <v>51</v>
      </c>
      <c r="B22" s="2" t="s">
        <v>52</v>
      </c>
      <c r="C22" s="2">
        <v>28</v>
      </c>
      <c r="D22" s="2" t="s">
        <v>12</v>
      </c>
      <c r="E22" s="2" t="s">
        <v>13</v>
      </c>
      <c r="F22" s="2">
        <v>45000</v>
      </c>
      <c r="G22" s="2">
        <v>4</v>
      </c>
      <c r="H22" s="2">
        <v>8</v>
      </c>
      <c r="I22" s="2">
        <f t="shared" si="0"/>
        <v>0</v>
      </c>
      <c r="J22" s="2">
        <v>0</v>
      </c>
      <c r="K22" s="2">
        <v>21000</v>
      </c>
      <c r="L22" s="3">
        <v>44411</v>
      </c>
    </row>
    <row r="23" spans="1:12">
      <c r="A23" s="1" t="s">
        <v>53</v>
      </c>
      <c r="B23" s="2" t="s">
        <v>54</v>
      </c>
      <c r="C23" s="2">
        <v>37</v>
      </c>
      <c r="D23" s="2" t="s">
        <v>19</v>
      </c>
      <c r="E23" s="2" t="s">
        <v>22</v>
      </c>
      <c r="F23" s="2">
        <v>64000</v>
      </c>
      <c r="G23" s="2">
        <v>12</v>
      </c>
      <c r="H23" s="2">
        <v>9.1</v>
      </c>
      <c r="I23" s="2">
        <f t="shared" si="0"/>
        <v>0</v>
      </c>
      <c r="J23" s="2">
        <v>0</v>
      </c>
      <c r="K23" s="2">
        <v>34000</v>
      </c>
      <c r="L23" s="3">
        <v>41983</v>
      </c>
    </row>
    <row r="24" spans="1:12">
      <c r="A24" s="1" t="s">
        <v>55</v>
      </c>
      <c r="B24" s="2" t="s">
        <v>56</v>
      </c>
      <c r="C24" s="2">
        <v>29</v>
      </c>
      <c r="D24" s="2" t="s">
        <v>4</v>
      </c>
      <c r="E24" s="2" t="s">
        <v>9</v>
      </c>
      <c r="F24" s="2">
        <v>50000</v>
      </c>
      <c r="G24" s="2">
        <v>6</v>
      </c>
      <c r="H24" s="2">
        <v>8.1999999999999993</v>
      </c>
      <c r="I24" s="2">
        <f t="shared" si="0"/>
        <v>4650</v>
      </c>
      <c r="J24" s="2">
        <v>93000</v>
      </c>
      <c r="K24" s="2">
        <v>35000</v>
      </c>
      <c r="L24" s="3">
        <v>43630</v>
      </c>
    </row>
    <row r="25" spans="1:12">
      <c r="A25" s="1" t="s">
        <v>57</v>
      </c>
      <c r="B25" s="2" t="s">
        <v>58</v>
      </c>
      <c r="C25" s="2">
        <v>33</v>
      </c>
      <c r="D25" s="2" t="s">
        <v>8</v>
      </c>
      <c r="E25" s="2" t="s">
        <v>5</v>
      </c>
      <c r="F25" s="2">
        <v>56000</v>
      </c>
      <c r="G25" s="2">
        <v>8</v>
      </c>
      <c r="H25" s="2">
        <v>8.6999999999999993</v>
      </c>
      <c r="I25" s="2">
        <f t="shared" si="0"/>
        <v>6500</v>
      </c>
      <c r="J25" s="2">
        <v>130000</v>
      </c>
      <c r="K25" s="2">
        <v>46000</v>
      </c>
      <c r="L25" s="3">
        <v>42934</v>
      </c>
    </row>
    <row r="26" spans="1:12">
      <c r="A26" s="1" t="s">
        <v>59</v>
      </c>
      <c r="B26" s="2" t="s">
        <v>60</v>
      </c>
      <c r="C26" s="2">
        <v>27</v>
      </c>
      <c r="D26" s="2" t="s">
        <v>12</v>
      </c>
      <c r="E26" s="2" t="s">
        <v>16</v>
      </c>
      <c r="F26" s="2">
        <v>44000</v>
      </c>
      <c r="G26" s="2">
        <v>3</v>
      </c>
      <c r="H26" s="2">
        <v>7.8</v>
      </c>
      <c r="I26" s="2">
        <f t="shared" si="0"/>
        <v>0</v>
      </c>
      <c r="J26" s="2">
        <v>0</v>
      </c>
      <c r="K26" s="2">
        <v>25000</v>
      </c>
      <c r="L26" s="3">
        <v>44678</v>
      </c>
    </row>
    <row r="27" spans="1:12">
      <c r="A27" s="1" t="s">
        <v>61</v>
      </c>
      <c r="B27" s="2" t="s">
        <v>62</v>
      </c>
      <c r="C27" s="2">
        <v>31</v>
      </c>
      <c r="D27" s="2" t="s">
        <v>4</v>
      </c>
      <c r="E27" s="2" t="s">
        <v>22</v>
      </c>
      <c r="F27" s="2">
        <v>53000</v>
      </c>
      <c r="G27" s="2">
        <v>7</v>
      </c>
      <c r="H27" s="2">
        <v>8.4</v>
      </c>
      <c r="I27" s="2">
        <f t="shared" si="0"/>
        <v>0</v>
      </c>
      <c r="J27" s="2">
        <v>0</v>
      </c>
      <c r="K27" s="2">
        <v>26000</v>
      </c>
      <c r="L27" s="3">
        <v>43388</v>
      </c>
    </row>
    <row r="28" spans="1:12">
      <c r="A28" s="1" t="s">
        <v>63</v>
      </c>
      <c r="B28" s="2" t="s">
        <v>64</v>
      </c>
      <c r="C28" s="2">
        <v>36</v>
      </c>
      <c r="D28" s="2" t="s">
        <v>19</v>
      </c>
      <c r="E28" s="2" t="s">
        <v>5</v>
      </c>
      <c r="F28" s="2">
        <v>61000</v>
      </c>
      <c r="G28" s="2">
        <v>10</v>
      </c>
      <c r="H28" s="2">
        <v>9</v>
      </c>
      <c r="I28" s="2">
        <f t="shared" si="0"/>
        <v>7400</v>
      </c>
      <c r="J28" s="2">
        <v>148000</v>
      </c>
      <c r="K28" s="2">
        <v>52000</v>
      </c>
      <c r="L28" s="3">
        <v>42398</v>
      </c>
    </row>
    <row r="29" spans="1:12">
      <c r="A29" s="1" t="s">
        <v>65</v>
      </c>
      <c r="B29" s="2" t="s">
        <v>66</v>
      </c>
      <c r="C29" s="2">
        <v>24</v>
      </c>
      <c r="D29" s="2" t="s">
        <v>8</v>
      </c>
      <c r="E29" s="2" t="s">
        <v>13</v>
      </c>
      <c r="F29" s="2">
        <v>39000</v>
      </c>
      <c r="G29" s="2">
        <v>1</v>
      </c>
      <c r="H29" s="2">
        <v>7.3</v>
      </c>
      <c r="I29" s="2">
        <f t="shared" si="0"/>
        <v>0</v>
      </c>
      <c r="J29" s="2">
        <v>0</v>
      </c>
      <c r="K29" s="2">
        <v>17000</v>
      </c>
      <c r="L29" s="3">
        <v>45323</v>
      </c>
    </row>
    <row r="30" spans="1:12">
      <c r="A30" s="1" t="s">
        <v>67</v>
      </c>
      <c r="B30" s="2" t="s">
        <v>68</v>
      </c>
      <c r="C30" s="2">
        <v>32</v>
      </c>
      <c r="D30" s="2" t="s">
        <v>4</v>
      </c>
      <c r="E30" s="2" t="s">
        <v>9</v>
      </c>
      <c r="F30" s="2">
        <v>55000</v>
      </c>
      <c r="G30" s="2">
        <v>7</v>
      </c>
      <c r="H30" s="2">
        <v>8.5</v>
      </c>
      <c r="I30" s="2">
        <f t="shared" si="0"/>
        <v>5050</v>
      </c>
      <c r="J30" s="2">
        <v>101000</v>
      </c>
      <c r="K30" s="2">
        <v>37000</v>
      </c>
      <c r="L30" s="3">
        <v>43257</v>
      </c>
    </row>
    <row r="31" spans="1:12">
      <c r="A31" s="1" t="s">
        <v>69</v>
      </c>
      <c r="B31" s="2" t="s">
        <v>70</v>
      </c>
      <c r="C31" s="2">
        <v>28</v>
      </c>
      <c r="D31" s="2" t="s">
        <v>12</v>
      </c>
      <c r="E31" s="2" t="s">
        <v>16</v>
      </c>
      <c r="F31" s="2">
        <v>47000</v>
      </c>
      <c r="G31" s="2">
        <v>4</v>
      </c>
      <c r="H31" s="2">
        <v>8.1</v>
      </c>
      <c r="I31" s="2">
        <f t="shared" si="0"/>
        <v>0</v>
      </c>
      <c r="J31" s="2">
        <v>0</v>
      </c>
      <c r="K31" s="2">
        <v>24000</v>
      </c>
      <c r="L31" s="3">
        <v>44508</v>
      </c>
    </row>
    <row r="32" spans="1:12">
      <c r="A32" s="1" t="s">
        <v>71</v>
      </c>
      <c r="B32" s="2" t="s">
        <v>72</v>
      </c>
      <c r="C32" s="2">
        <v>34</v>
      </c>
      <c r="D32" s="2" t="s">
        <v>4</v>
      </c>
      <c r="E32" s="2" t="s">
        <v>22</v>
      </c>
      <c r="F32" s="2">
        <v>60000</v>
      </c>
      <c r="G32" s="2">
        <v>9</v>
      </c>
      <c r="H32" s="2">
        <v>8.8000000000000007</v>
      </c>
      <c r="I32" s="2">
        <f t="shared" si="0"/>
        <v>0</v>
      </c>
      <c r="J32" s="2">
        <v>0</v>
      </c>
      <c r="K32" s="2">
        <v>30000</v>
      </c>
      <c r="L32" s="3">
        <v>42991</v>
      </c>
    </row>
    <row r="33" spans="1:12">
      <c r="A33" s="1" t="s">
        <v>73</v>
      </c>
      <c r="B33" s="2" t="s">
        <v>74</v>
      </c>
      <c r="C33" s="2">
        <v>29</v>
      </c>
      <c r="D33" s="2" t="s">
        <v>8</v>
      </c>
      <c r="E33" s="2" t="s">
        <v>5</v>
      </c>
      <c r="F33" s="2">
        <v>48000</v>
      </c>
      <c r="G33" s="2">
        <v>5</v>
      </c>
      <c r="H33" s="2">
        <v>8.3000000000000007</v>
      </c>
      <c r="I33" s="2">
        <f t="shared" si="0"/>
        <v>5500</v>
      </c>
      <c r="J33" s="2">
        <v>110000</v>
      </c>
      <c r="K33" s="2">
        <v>41000</v>
      </c>
      <c r="L33" s="3">
        <v>43911</v>
      </c>
    </row>
    <row r="34" spans="1:12">
      <c r="A34" s="1" t="s">
        <v>75</v>
      </c>
      <c r="B34" s="2" t="s">
        <v>76</v>
      </c>
      <c r="C34" s="2">
        <v>40</v>
      </c>
      <c r="D34" s="2" t="s">
        <v>19</v>
      </c>
      <c r="E34" s="2" t="s">
        <v>16</v>
      </c>
      <c r="F34" s="2">
        <v>70000</v>
      </c>
      <c r="G34" s="2">
        <v>15</v>
      </c>
      <c r="H34" s="2">
        <v>9.3000000000000007</v>
      </c>
      <c r="I34" s="2">
        <f t="shared" si="0"/>
        <v>0</v>
      </c>
      <c r="J34" s="2">
        <v>0</v>
      </c>
      <c r="K34" s="2">
        <v>36000</v>
      </c>
      <c r="L34" s="3">
        <v>41254</v>
      </c>
    </row>
    <row r="35" spans="1:12">
      <c r="A35" s="1" t="s">
        <v>77</v>
      </c>
      <c r="B35" s="2" t="s">
        <v>78</v>
      </c>
      <c r="C35" s="2">
        <v>27</v>
      </c>
      <c r="D35" s="2" t="s">
        <v>4</v>
      </c>
      <c r="E35" s="2" t="s">
        <v>9</v>
      </c>
      <c r="F35" s="2">
        <v>45000</v>
      </c>
      <c r="G35" s="2">
        <v>3</v>
      </c>
      <c r="H35" s="2">
        <v>7.9</v>
      </c>
      <c r="I35" s="2">
        <f t="shared" si="0"/>
        <v>4750</v>
      </c>
      <c r="J35" s="2">
        <v>95000</v>
      </c>
      <c r="K35" s="2">
        <v>33000</v>
      </c>
      <c r="L35" s="3">
        <v>44778</v>
      </c>
    </row>
    <row r="36" spans="1:12">
      <c r="A36" s="1" t="s">
        <v>79</v>
      </c>
      <c r="B36" s="2" t="s">
        <v>80</v>
      </c>
      <c r="C36" s="2">
        <v>31</v>
      </c>
      <c r="D36" s="2" t="s">
        <v>12</v>
      </c>
      <c r="E36" s="2" t="s">
        <v>22</v>
      </c>
      <c r="F36" s="2">
        <v>54000</v>
      </c>
      <c r="G36" s="2">
        <v>7</v>
      </c>
      <c r="H36" s="2">
        <v>8.4</v>
      </c>
      <c r="I36" s="2">
        <f t="shared" si="0"/>
        <v>0</v>
      </c>
      <c r="J36" s="2">
        <v>0</v>
      </c>
      <c r="K36" s="2">
        <v>27000</v>
      </c>
      <c r="L36" s="3">
        <v>43239</v>
      </c>
    </row>
    <row r="37" spans="1:12">
      <c r="A37" s="1" t="s">
        <v>81</v>
      </c>
      <c r="B37" s="2" t="s">
        <v>82</v>
      </c>
      <c r="C37" s="2">
        <v>35</v>
      </c>
      <c r="D37" s="2" t="s">
        <v>8</v>
      </c>
      <c r="E37" s="2" t="s">
        <v>5</v>
      </c>
      <c r="F37" s="2">
        <v>60000</v>
      </c>
      <c r="G37" s="2">
        <v>10</v>
      </c>
      <c r="H37" s="2">
        <v>8.9</v>
      </c>
      <c r="I37" s="2">
        <f t="shared" si="0"/>
        <v>7250</v>
      </c>
      <c r="J37" s="2">
        <v>145000</v>
      </c>
      <c r="K37" s="2">
        <v>50000</v>
      </c>
      <c r="L37" s="3">
        <v>42554</v>
      </c>
    </row>
    <row r="38" spans="1:12">
      <c r="A38" s="1" t="s">
        <v>83</v>
      </c>
      <c r="B38" s="2" t="s">
        <v>84</v>
      </c>
      <c r="C38" s="2">
        <v>26</v>
      </c>
      <c r="D38" s="2" t="s">
        <v>4</v>
      </c>
      <c r="E38" s="2" t="s">
        <v>13</v>
      </c>
      <c r="F38" s="2">
        <v>42000</v>
      </c>
      <c r="G38" s="2">
        <v>3</v>
      </c>
      <c r="H38" s="2">
        <v>7.7</v>
      </c>
      <c r="I38" s="2">
        <f t="shared" si="0"/>
        <v>0</v>
      </c>
      <c r="J38" s="2">
        <v>0</v>
      </c>
      <c r="K38" s="2">
        <v>20000</v>
      </c>
      <c r="L38" s="3">
        <v>44634</v>
      </c>
    </row>
    <row r="39" spans="1:12">
      <c r="A39" s="1" t="s">
        <v>85</v>
      </c>
      <c r="B39" s="2" t="s">
        <v>86</v>
      </c>
      <c r="C39" s="2">
        <v>30</v>
      </c>
      <c r="D39" s="2" t="s">
        <v>12</v>
      </c>
      <c r="E39" s="2" t="s">
        <v>9</v>
      </c>
      <c r="F39" s="2">
        <v>52000</v>
      </c>
      <c r="G39" s="2">
        <v>6</v>
      </c>
      <c r="H39" s="2">
        <v>8.1999999999999993</v>
      </c>
      <c r="I39" s="2">
        <f t="shared" si="0"/>
        <v>4950</v>
      </c>
      <c r="J39" s="2">
        <v>99000</v>
      </c>
      <c r="K39" s="2">
        <v>35000</v>
      </c>
      <c r="L39" s="3">
        <v>43750</v>
      </c>
    </row>
    <row r="40" spans="1:12">
      <c r="A40" s="1" t="s">
        <v>87</v>
      </c>
      <c r="B40" s="2" t="s">
        <v>88</v>
      </c>
      <c r="C40" s="2">
        <v>37</v>
      </c>
      <c r="D40" s="2" t="s">
        <v>19</v>
      </c>
      <c r="E40" s="2" t="s">
        <v>22</v>
      </c>
      <c r="F40" s="2">
        <v>65000</v>
      </c>
      <c r="G40" s="2">
        <v>12</v>
      </c>
      <c r="H40" s="2">
        <v>9.1</v>
      </c>
      <c r="I40" s="2">
        <f t="shared" si="0"/>
        <v>0</v>
      </c>
      <c r="J40" s="2">
        <v>0</v>
      </c>
      <c r="K40" s="2">
        <v>33000</v>
      </c>
      <c r="L40" s="3">
        <v>41900</v>
      </c>
    </row>
    <row r="41" spans="1:12">
      <c r="A41" s="1" t="s">
        <v>89</v>
      </c>
      <c r="B41" s="2" t="s">
        <v>90</v>
      </c>
      <c r="C41" s="2">
        <v>28</v>
      </c>
      <c r="D41" s="2" t="s">
        <v>4</v>
      </c>
      <c r="E41" s="2" t="s">
        <v>16</v>
      </c>
      <c r="F41" s="2">
        <v>47000</v>
      </c>
      <c r="G41" s="2">
        <v>4</v>
      </c>
      <c r="H41" s="2">
        <v>8</v>
      </c>
      <c r="I41" s="2">
        <f t="shared" si="0"/>
        <v>0</v>
      </c>
      <c r="J41" s="2">
        <v>0</v>
      </c>
      <c r="K41" s="2">
        <v>25000</v>
      </c>
      <c r="L41" s="3">
        <v>44552</v>
      </c>
    </row>
    <row r="42" spans="1:12">
      <c r="A42" s="1" t="s">
        <v>91</v>
      </c>
      <c r="B42" s="2" t="s">
        <v>92</v>
      </c>
      <c r="C42" s="2">
        <v>33</v>
      </c>
      <c r="D42" s="2" t="s">
        <v>8</v>
      </c>
      <c r="E42" s="2" t="s">
        <v>5</v>
      </c>
      <c r="F42" s="2">
        <v>56000</v>
      </c>
      <c r="G42" s="2">
        <v>8</v>
      </c>
      <c r="H42" s="2">
        <v>8.6</v>
      </c>
      <c r="I42" s="2">
        <f t="shared" si="0"/>
        <v>6400</v>
      </c>
      <c r="J42" s="2">
        <v>128000</v>
      </c>
      <c r="K42" s="2">
        <v>45000</v>
      </c>
      <c r="L42" s="3">
        <v>42750</v>
      </c>
    </row>
    <row r="43" spans="1:12">
      <c r="A43" s="1" t="s">
        <v>93</v>
      </c>
      <c r="B43" s="2" t="s">
        <v>94</v>
      </c>
      <c r="C43" s="2">
        <v>25</v>
      </c>
      <c r="D43" s="2" t="s">
        <v>12</v>
      </c>
      <c r="E43" s="2" t="s">
        <v>9</v>
      </c>
      <c r="F43" s="2">
        <v>42000</v>
      </c>
      <c r="G43" s="2">
        <v>2</v>
      </c>
      <c r="H43" s="2">
        <v>7.6</v>
      </c>
      <c r="I43" s="2">
        <f t="shared" si="0"/>
        <v>4500</v>
      </c>
      <c r="J43" s="2">
        <v>90000</v>
      </c>
      <c r="K43" s="2">
        <v>31000</v>
      </c>
      <c r="L43" s="3">
        <v>45023</v>
      </c>
    </row>
    <row r="44" spans="1:12">
      <c r="A44" s="1" t="s">
        <v>95</v>
      </c>
      <c r="B44" s="2" t="s">
        <v>96</v>
      </c>
      <c r="C44" s="2">
        <v>36</v>
      </c>
      <c r="D44" s="2" t="s">
        <v>4</v>
      </c>
      <c r="E44" s="2" t="s">
        <v>22</v>
      </c>
      <c r="F44" s="2">
        <v>62000</v>
      </c>
      <c r="G44" s="2">
        <v>11</v>
      </c>
      <c r="H44" s="2">
        <v>9</v>
      </c>
      <c r="I44" s="2">
        <f t="shared" si="0"/>
        <v>0</v>
      </c>
      <c r="J44" s="2">
        <v>0</v>
      </c>
      <c r="K44" s="2">
        <v>32000</v>
      </c>
      <c r="L44" s="3">
        <v>42144</v>
      </c>
    </row>
    <row r="45" spans="1:12">
      <c r="A45" s="1" t="s">
        <v>97</v>
      </c>
      <c r="B45" s="2" t="s">
        <v>98</v>
      </c>
      <c r="C45" s="2">
        <v>29</v>
      </c>
      <c r="D45" s="2" t="s">
        <v>19</v>
      </c>
      <c r="E45" s="2" t="s">
        <v>5</v>
      </c>
      <c r="F45" s="2">
        <v>48000</v>
      </c>
      <c r="G45" s="2">
        <v>5</v>
      </c>
      <c r="H45" s="2">
        <v>8.3000000000000007</v>
      </c>
      <c r="I45" s="2">
        <f t="shared" si="0"/>
        <v>5350</v>
      </c>
      <c r="J45" s="2">
        <v>107000</v>
      </c>
      <c r="K45" s="2">
        <v>39000</v>
      </c>
      <c r="L45" s="3">
        <v>44083</v>
      </c>
    </row>
    <row r="46" spans="1:12">
      <c r="A46" s="1" t="s">
        <v>99</v>
      </c>
      <c r="B46" s="2" t="s">
        <v>100</v>
      </c>
      <c r="C46" s="2">
        <v>27</v>
      </c>
      <c r="D46" s="2" t="s">
        <v>8</v>
      </c>
      <c r="E46" s="2" t="s">
        <v>13</v>
      </c>
      <c r="F46" s="2">
        <v>43000</v>
      </c>
      <c r="G46" s="2">
        <v>3</v>
      </c>
      <c r="H46" s="2">
        <v>7.8</v>
      </c>
      <c r="I46" s="2">
        <f t="shared" si="0"/>
        <v>0</v>
      </c>
      <c r="J46" s="2">
        <v>0</v>
      </c>
      <c r="K46" s="2">
        <v>21000</v>
      </c>
      <c r="L46" s="3">
        <v>44881</v>
      </c>
    </row>
    <row r="47" spans="1:12">
      <c r="A47" s="1" t="s">
        <v>101</v>
      </c>
      <c r="B47" s="2" t="s">
        <v>102</v>
      </c>
      <c r="C47" s="2">
        <v>34</v>
      </c>
      <c r="D47" s="2" t="s">
        <v>4</v>
      </c>
      <c r="E47" s="2" t="s">
        <v>16</v>
      </c>
      <c r="F47" s="2">
        <v>59000</v>
      </c>
      <c r="G47" s="2">
        <v>9</v>
      </c>
      <c r="H47" s="2">
        <v>8.6999999999999993</v>
      </c>
      <c r="I47" s="2">
        <f t="shared" si="0"/>
        <v>0</v>
      </c>
      <c r="J47" s="2">
        <v>0</v>
      </c>
      <c r="K47" s="2">
        <v>30000</v>
      </c>
      <c r="L47" s="3">
        <v>42951</v>
      </c>
    </row>
    <row r="48" spans="1:12">
      <c r="A48" s="1" t="s">
        <v>103</v>
      </c>
      <c r="B48" s="2" t="s">
        <v>104</v>
      </c>
      <c r="C48" s="2">
        <v>28</v>
      </c>
      <c r="D48" s="2" t="s">
        <v>12</v>
      </c>
      <c r="E48" s="2" t="s">
        <v>9</v>
      </c>
      <c r="F48" s="2">
        <v>47000</v>
      </c>
      <c r="G48" s="2">
        <v>4</v>
      </c>
      <c r="H48" s="2">
        <v>8.1</v>
      </c>
      <c r="I48" s="2">
        <f t="shared" si="0"/>
        <v>4800</v>
      </c>
      <c r="J48" s="2">
        <v>96000</v>
      </c>
      <c r="K48" s="2">
        <v>34000</v>
      </c>
      <c r="L48" s="3">
        <v>44377</v>
      </c>
    </row>
    <row r="49" spans="1:12">
      <c r="A49" s="1" t="s">
        <v>105</v>
      </c>
      <c r="B49" s="2" t="s">
        <v>106</v>
      </c>
      <c r="C49" s="2">
        <v>31</v>
      </c>
      <c r="D49" s="2" t="s">
        <v>8</v>
      </c>
      <c r="E49" s="2" t="s">
        <v>22</v>
      </c>
      <c r="F49" s="2">
        <v>54000</v>
      </c>
      <c r="G49" s="2">
        <v>7</v>
      </c>
      <c r="H49" s="2">
        <v>8.5</v>
      </c>
      <c r="I49" s="2">
        <f t="shared" si="0"/>
        <v>0</v>
      </c>
      <c r="J49" s="2">
        <v>0</v>
      </c>
      <c r="K49" s="2">
        <v>27000</v>
      </c>
      <c r="L49" s="3">
        <v>43158</v>
      </c>
    </row>
    <row r="50" spans="1:12">
      <c r="A50" s="1" t="s">
        <v>107</v>
      </c>
      <c r="B50" s="2" t="s">
        <v>108</v>
      </c>
      <c r="C50" s="2">
        <v>35</v>
      </c>
      <c r="D50" s="2" t="s">
        <v>4</v>
      </c>
      <c r="E50" s="2" t="s">
        <v>5</v>
      </c>
      <c r="F50" s="2">
        <v>61000</v>
      </c>
      <c r="G50" s="2">
        <v>10</v>
      </c>
      <c r="H50" s="2">
        <v>9</v>
      </c>
      <c r="I50" s="2">
        <f t="shared" si="0"/>
        <v>7500</v>
      </c>
      <c r="J50" s="2">
        <v>150000</v>
      </c>
      <c r="K50" s="2">
        <v>51000</v>
      </c>
      <c r="L50" s="3">
        <v>42479</v>
      </c>
    </row>
    <row r="51" spans="1:12">
      <c r="A51" s="1" t="s">
        <v>109</v>
      </c>
      <c r="B51" s="2" t="s">
        <v>110</v>
      </c>
      <c r="C51" s="2">
        <v>26</v>
      </c>
      <c r="D51" s="2" t="s">
        <v>12</v>
      </c>
      <c r="E51" s="2" t="s">
        <v>16</v>
      </c>
      <c r="F51" s="2">
        <v>44000</v>
      </c>
      <c r="G51" s="2">
        <v>3</v>
      </c>
      <c r="H51" s="2">
        <v>7.9</v>
      </c>
      <c r="I51" s="2">
        <f t="shared" si="0"/>
        <v>0</v>
      </c>
      <c r="J51" s="2">
        <v>0</v>
      </c>
      <c r="K51" s="2">
        <v>23000</v>
      </c>
      <c r="L51" s="3">
        <v>44753</v>
      </c>
    </row>
    <row r="52" spans="1:12">
      <c r="A52" s="1" t="s">
        <v>111</v>
      </c>
      <c r="B52" s="2" t="s">
        <v>112</v>
      </c>
      <c r="C52" s="2">
        <v>30</v>
      </c>
      <c r="D52" s="2" t="s">
        <v>8</v>
      </c>
      <c r="E52" s="2" t="s">
        <v>9</v>
      </c>
      <c r="F52" s="2">
        <v>51000</v>
      </c>
      <c r="G52" s="2">
        <v>6</v>
      </c>
      <c r="H52" s="2">
        <v>8.1999999999999993</v>
      </c>
      <c r="I52" s="2">
        <f t="shared" si="0"/>
        <v>4900</v>
      </c>
      <c r="J52" s="2">
        <v>98000</v>
      </c>
      <c r="K52" s="2">
        <v>36000</v>
      </c>
      <c r="L52" s="3">
        <v>43792</v>
      </c>
    </row>
    <row r="53" spans="1:12">
      <c r="A53" s="1" t="s">
        <v>113</v>
      </c>
      <c r="B53" s="2" t="s">
        <v>114</v>
      </c>
      <c r="C53" s="2">
        <v>39</v>
      </c>
      <c r="D53" s="2" t="s">
        <v>4</v>
      </c>
      <c r="E53" s="2" t="s">
        <v>22</v>
      </c>
      <c r="F53" s="2">
        <v>67000</v>
      </c>
      <c r="G53" s="2">
        <v>14</v>
      </c>
      <c r="H53" s="2">
        <v>9.1999999999999993</v>
      </c>
      <c r="I53" s="2">
        <f t="shared" si="0"/>
        <v>0</v>
      </c>
      <c r="J53" s="2">
        <v>0</v>
      </c>
      <c r="K53" s="2">
        <v>34000</v>
      </c>
      <c r="L53" s="3">
        <v>41552</v>
      </c>
    </row>
    <row r="54" spans="1:12">
      <c r="A54" s="1" t="s">
        <v>115</v>
      </c>
      <c r="B54" s="2" t="s">
        <v>116</v>
      </c>
      <c r="C54" s="2">
        <v>27</v>
      </c>
      <c r="D54" s="2" t="s">
        <v>12</v>
      </c>
      <c r="E54" s="2" t="s">
        <v>13</v>
      </c>
      <c r="F54" s="2">
        <v>42000</v>
      </c>
      <c r="G54" s="2">
        <v>3</v>
      </c>
      <c r="H54" s="2">
        <v>7.7</v>
      </c>
      <c r="I54" s="2">
        <f t="shared" si="0"/>
        <v>0</v>
      </c>
      <c r="J54" s="2">
        <v>0</v>
      </c>
      <c r="K54" s="2">
        <v>20000</v>
      </c>
      <c r="L54" s="3">
        <v>44606</v>
      </c>
    </row>
    <row r="55" spans="1:12">
      <c r="A55" s="1" t="s">
        <v>117</v>
      </c>
      <c r="B55" s="2" t="s">
        <v>118</v>
      </c>
      <c r="C55" s="2">
        <v>33</v>
      </c>
      <c r="D55" s="2" t="s">
        <v>19</v>
      </c>
      <c r="E55" s="2" t="s">
        <v>5</v>
      </c>
      <c r="F55" s="2">
        <v>57000</v>
      </c>
      <c r="G55" s="2">
        <v>8</v>
      </c>
      <c r="H55" s="2">
        <v>8.6</v>
      </c>
      <c r="I55" s="2">
        <f t="shared" si="0"/>
        <v>6750</v>
      </c>
      <c r="J55" s="2">
        <v>135000</v>
      </c>
      <c r="K55" s="2">
        <v>47000</v>
      </c>
      <c r="L55" s="3">
        <v>42795</v>
      </c>
    </row>
    <row r="56" spans="1:12">
      <c r="A56" s="1" t="s">
        <v>119</v>
      </c>
      <c r="B56" s="2" t="s">
        <v>120</v>
      </c>
      <c r="C56" s="2">
        <v>29</v>
      </c>
      <c r="D56" s="2" t="s">
        <v>8</v>
      </c>
      <c r="E56" s="2" t="s">
        <v>9</v>
      </c>
      <c r="F56" s="2">
        <v>50000</v>
      </c>
      <c r="G56" s="2">
        <v>5</v>
      </c>
      <c r="H56" s="2">
        <v>8.1</v>
      </c>
      <c r="I56" s="2">
        <f t="shared" si="0"/>
        <v>4950</v>
      </c>
      <c r="J56" s="2">
        <v>99000</v>
      </c>
      <c r="K56" s="2">
        <v>35000</v>
      </c>
      <c r="L56" s="3">
        <v>43979</v>
      </c>
    </row>
    <row r="57" spans="1:12">
      <c r="A57" s="1" t="s">
        <v>121</v>
      </c>
      <c r="B57" s="2" t="s">
        <v>122</v>
      </c>
      <c r="C57" s="2">
        <v>31</v>
      </c>
      <c r="D57" s="2" t="s">
        <v>4</v>
      </c>
      <c r="E57" s="2" t="s">
        <v>16</v>
      </c>
      <c r="F57" s="2">
        <v>54000</v>
      </c>
      <c r="G57" s="2">
        <v>7</v>
      </c>
      <c r="H57" s="2">
        <v>8.4</v>
      </c>
      <c r="I57" s="2">
        <f t="shared" si="0"/>
        <v>0</v>
      </c>
      <c r="J57" s="2">
        <v>0</v>
      </c>
      <c r="K57" s="2">
        <v>26000</v>
      </c>
      <c r="L57" s="3">
        <v>43119</v>
      </c>
    </row>
    <row r="58" spans="1:12">
      <c r="A58" s="1" t="s">
        <v>123</v>
      </c>
      <c r="B58" s="2" t="s">
        <v>124</v>
      </c>
      <c r="C58" s="2">
        <v>28</v>
      </c>
      <c r="D58" s="2" t="s">
        <v>12</v>
      </c>
      <c r="E58" s="2" t="s">
        <v>22</v>
      </c>
      <c r="F58" s="2">
        <v>47000</v>
      </c>
      <c r="G58" s="2">
        <v>4</v>
      </c>
      <c r="H58" s="2">
        <v>8</v>
      </c>
      <c r="I58" s="2">
        <f t="shared" si="0"/>
        <v>0</v>
      </c>
      <c r="J58" s="2">
        <v>0</v>
      </c>
      <c r="K58" s="2">
        <v>24000</v>
      </c>
      <c r="L58" s="3">
        <v>44482</v>
      </c>
    </row>
    <row r="59" spans="1:12">
      <c r="A59" s="1" t="s">
        <v>125</v>
      </c>
      <c r="B59" s="2" t="s">
        <v>126</v>
      </c>
      <c r="C59" s="2">
        <v>36</v>
      </c>
      <c r="D59" s="2" t="s">
        <v>4</v>
      </c>
      <c r="E59" s="2" t="s">
        <v>5</v>
      </c>
      <c r="F59" s="2">
        <v>62000</v>
      </c>
      <c r="G59" s="2">
        <v>11</v>
      </c>
      <c r="H59" s="2">
        <v>9</v>
      </c>
      <c r="I59" s="2">
        <f t="shared" si="0"/>
        <v>7600</v>
      </c>
      <c r="J59" s="2">
        <v>152000</v>
      </c>
      <c r="K59" s="2">
        <v>52000</v>
      </c>
      <c r="L59" s="3">
        <v>42179</v>
      </c>
    </row>
    <row r="60" spans="1:12">
      <c r="A60" s="1" t="s">
        <v>127</v>
      </c>
      <c r="B60" s="2" t="s">
        <v>128</v>
      </c>
      <c r="C60" s="2">
        <v>25</v>
      </c>
      <c r="D60" s="2" t="s">
        <v>8</v>
      </c>
      <c r="E60" s="2" t="s">
        <v>13</v>
      </c>
      <c r="F60" s="2">
        <v>40000</v>
      </c>
      <c r="G60" s="2">
        <v>2</v>
      </c>
      <c r="H60" s="2">
        <v>7.5</v>
      </c>
      <c r="I60" s="2">
        <f t="shared" si="0"/>
        <v>0</v>
      </c>
      <c r="J60" s="2">
        <v>0</v>
      </c>
      <c r="K60" s="2">
        <v>19000</v>
      </c>
      <c r="L60" s="3">
        <v>44956</v>
      </c>
    </row>
    <row r="61" spans="1:12">
      <c r="A61" s="1" t="s">
        <v>129</v>
      </c>
      <c r="B61" s="2" t="s">
        <v>130</v>
      </c>
      <c r="C61" s="2">
        <v>34</v>
      </c>
      <c r="D61" s="2" t="s">
        <v>12</v>
      </c>
      <c r="E61" s="2" t="s">
        <v>9</v>
      </c>
      <c r="F61" s="2">
        <v>56000</v>
      </c>
      <c r="G61" s="2">
        <v>8</v>
      </c>
      <c r="H61" s="2">
        <v>8.6</v>
      </c>
      <c r="I61" s="2">
        <f t="shared" si="0"/>
        <v>5200</v>
      </c>
      <c r="J61" s="2">
        <v>104000</v>
      </c>
      <c r="K61" s="2">
        <v>38000</v>
      </c>
      <c r="L61" s="3">
        <v>42834</v>
      </c>
    </row>
    <row r="62" spans="1:12">
      <c r="A62" s="1" t="s">
        <v>131</v>
      </c>
      <c r="B62" s="2" t="s">
        <v>132</v>
      </c>
      <c r="C62" s="2">
        <v>28</v>
      </c>
      <c r="D62" s="2" t="s">
        <v>4</v>
      </c>
      <c r="E62" s="2" t="s">
        <v>16</v>
      </c>
      <c r="F62" s="2">
        <v>47000</v>
      </c>
      <c r="G62" s="2">
        <v>4</v>
      </c>
      <c r="H62" s="2">
        <v>8.1</v>
      </c>
      <c r="I62" s="2">
        <f t="shared" si="0"/>
        <v>0</v>
      </c>
      <c r="J62" s="2">
        <v>0</v>
      </c>
      <c r="K62" s="2">
        <v>24000</v>
      </c>
      <c r="L62" s="3">
        <v>44457</v>
      </c>
    </row>
    <row r="63" spans="1:12">
      <c r="A63" s="1" t="s">
        <v>133</v>
      </c>
      <c r="B63" s="2" t="s">
        <v>134</v>
      </c>
      <c r="C63" s="2">
        <v>41</v>
      </c>
      <c r="D63" s="2" t="s">
        <v>19</v>
      </c>
      <c r="E63" s="2" t="s">
        <v>22</v>
      </c>
      <c r="F63" s="2">
        <v>72000</v>
      </c>
      <c r="G63" s="2">
        <v>16</v>
      </c>
      <c r="H63" s="2">
        <v>9.4</v>
      </c>
      <c r="I63" s="2">
        <f t="shared" si="0"/>
        <v>0</v>
      </c>
      <c r="J63" s="2">
        <v>0</v>
      </c>
      <c r="K63" s="2">
        <v>36000</v>
      </c>
      <c r="L63" s="3">
        <v>40739</v>
      </c>
    </row>
    <row r="64" spans="1:12">
      <c r="A64" s="1" t="s">
        <v>135</v>
      </c>
      <c r="B64" s="2" t="s">
        <v>136</v>
      </c>
      <c r="C64" s="2">
        <v>27</v>
      </c>
      <c r="D64" s="2" t="s">
        <v>8</v>
      </c>
      <c r="E64" s="2" t="s">
        <v>9</v>
      </c>
      <c r="F64" s="2">
        <v>45000</v>
      </c>
      <c r="G64" s="2">
        <v>3</v>
      </c>
      <c r="H64" s="2">
        <v>7.9</v>
      </c>
      <c r="I64" s="2">
        <f t="shared" si="0"/>
        <v>4550</v>
      </c>
      <c r="J64" s="2">
        <v>91000</v>
      </c>
      <c r="K64" s="2">
        <v>33000</v>
      </c>
      <c r="L64" s="3">
        <v>44724</v>
      </c>
    </row>
    <row r="65" spans="1:12">
      <c r="A65" s="1" t="s">
        <v>137</v>
      </c>
      <c r="B65" s="2" t="s">
        <v>138</v>
      </c>
      <c r="C65" s="2">
        <v>32</v>
      </c>
      <c r="D65" s="2" t="s">
        <v>4</v>
      </c>
      <c r="E65" s="2" t="s">
        <v>5</v>
      </c>
      <c r="F65" s="2">
        <v>55000</v>
      </c>
      <c r="G65" s="2">
        <v>7</v>
      </c>
      <c r="H65" s="2">
        <v>8.5</v>
      </c>
      <c r="I65" s="2">
        <f t="shared" si="0"/>
        <v>6250</v>
      </c>
      <c r="J65" s="2">
        <v>125000</v>
      </c>
      <c r="K65" s="2">
        <v>44000</v>
      </c>
      <c r="L65" s="3">
        <v>43437</v>
      </c>
    </row>
    <row r="66" spans="1:12">
      <c r="A66" s="1" t="s">
        <v>139</v>
      </c>
      <c r="B66" s="2" t="s">
        <v>140</v>
      </c>
      <c r="C66" s="2">
        <v>29</v>
      </c>
      <c r="D66" s="2" t="s">
        <v>12</v>
      </c>
      <c r="E66" s="2" t="s">
        <v>16</v>
      </c>
      <c r="F66" s="2">
        <v>49000</v>
      </c>
      <c r="G66" s="2">
        <v>5</v>
      </c>
      <c r="H66" s="2">
        <v>8.1999999999999993</v>
      </c>
      <c r="I66" s="2">
        <f t="shared" si="0"/>
        <v>0</v>
      </c>
      <c r="J66" s="2">
        <v>0</v>
      </c>
      <c r="K66" s="2">
        <v>25000</v>
      </c>
      <c r="L66" s="3">
        <v>43935</v>
      </c>
    </row>
    <row r="67" spans="1:12">
      <c r="A67" s="1" t="s">
        <v>141</v>
      </c>
      <c r="B67" s="2" t="s">
        <v>142</v>
      </c>
      <c r="C67" s="2">
        <v>35</v>
      </c>
      <c r="D67" s="2" t="s">
        <v>8</v>
      </c>
      <c r="E67" s="2" t="s">
        <v>22</v>
      </c>
      <c r="F67" s="2">
        <v>61000</v>
      </c>
      <c r="G67" s="2">
        <v>10</v>
      </c>
      <c r="H67" s="2">
        <v>8.9</v>
      </c>
      <c r="I67" s="2">
        <f t="shared" ref="I67:I101" si="1">(J67*5/100)</f>
        <v>0</v>
      </c>
      <c r="J67" s="2">
        <v>0</v>
      </c>
      <c r="K67" s="2">
        <v>31000</v>
      </c>
      <c r="L67" s="3">
        <v>42608</v>
      </c>
    </row>
    <row r="68" spans="1:12">
      <c r="A68" s="1" t="s">
        <v>143</v>
      </c>
      <c r="B68" s="2" t="s">
        <v>144</v>
      </c>
      <c r="C68" s="2">
        <v>26</v>
      </c>
      <c r="D68" s="2" t="s">
        <v>4</v>
      </c>
      <c r="E68" s="2" t="s">
        <v>13</v>
      </c>
      <c r="F68" s="2">
        <v>41000</v>
      </c>
      <c r="G68" s="2">
        <v>2</v>
      </c>
      <c r="H68" s="2">
        <v>7.6</v>
      </c>
      <c r="I68" s="2">
        <f t="shared" si="1"/>
        <v>0</v>
      </c>
      <c r="J68" s="2">
        <v>0</v>
      </c>
      <c r="K68" s="2">
        <v>19000</v>
      </c>
      <c r="L68" s="3">
        <v>44995</v>
      </c>
    </row>
    <row r="69" spans="1:12">
      <c r="A69" s="1" t="s">
        <v>145</v>
      </c>
      <c r="B69" s="2" t="s">
        <v>146</v>
      </c>
      <c r="C69" s="2">
        <v>33</v>
      </c>
      <c r="D69" s="2" t="s">
        <v>12</v>
      </c>
      <c r="E69" s="2" t="s">
        <v>5</v>
      </c>
      <c r="F69" s="2">
        <v>57000</v>
      </c>
      <c r="G69" s="2">
        <v>8</v>
      </c>
      <c r="H69" s="2">
        <v>8.6</v>
      </c>
      <c r="I69" s="2">
        <f t="shared" si="1"/>
        <v>6600</v>
      </c>
      <c r="J69" s="2">
        <v>132000</v>
      </c>
      <c r="K69" s="2">
        <v>46000</v>
      </c>
      <c r="L69" s="3">
        <v>42774</v>
      </c>
    </row>
    <row r="70" spans="1:12">
      <c r="A70" s="1" t="s">
        <v>147</v>
      </c>
      <c r="B70" s="2" t="s">
        <v>148</v>
      </c>
      <c r="C70" s="2">
        <v>28</v>
      </c>
      <c r="D70" s="2" t="s">
        <v>8</v>
      </c>
      <c r="E70" s="2" t="s">
        <v>9</v>
      </c>
      <c r="F70" s="2">
        <v>48000</v>
      </c>
      <c r="G70" s="2">
        <v>4</v>
      </c>
      <c r="H70" s="2">
        <v>8</v>
      </c>
      <c r="I70" s="2">
        <f t="shared" si="1"/>
        <v>4750</v>
      </c>
      <c r="J70" s="2">
        <v>95000</v>
      </c>
      <c r="K70" s="2">
        <v>34000</v>
      </c>
      <c r="L70" s="3">
        <v>44337</v>
      </c>
    </row>
    <row r="71" spans="1:12">
      <c r="A71" s="1" t="s">
        <v>149</v>
      </c>
      <c r="B71" s="2" t="s">
        <v>150</v>
      </c>
      <c r="C71" s="2">
        <v>37</v>
      </c>
      <c r="D71" s="2" t="s">
        <v>4</v>
      </c>
      <c r="E71" s="2" t="s">
        <v>22</v>
      </c>
      <c r="F71" s="2">
        <v>65000</v>
      </c>
      <c r="G71" s="2">
        <v>12</v>
      </c>
      <c r="H71" s="2">
        <v>9.1</v>
      </c>
      <c r="I71" s="2">
        <f t="shared" si="1"/>
        <v>0</v>
      </c>
      <c r="J71" s="2">
        <v>0</v>
      </c>
      <c r="K71" s="2">
        <v>33000</v>
      </c>
      <c r="L71" s="3">
        <v>41806</v>
      </c>
    </row>
    <row r="72" spans="1:12">
      <c r="A72" s="1" t="s">
        <v>151</v>
      </c>
      <c r="B72" s="2" t="s">
        <v>152</v>
      </c>
      <c r="C72" s="2">
        <v>30</v>
      </c>
      <c r="D72" s="2" t="s">
        <v>12</v>
      </c>
      <c r="E72" s="2" t="s">
        <v>16</v>
      </c>
      <c r="F72" s="2">
        <v>52000</v>
      </c>
      <c r="G72" s="2">
        <v>6</v>
      </c>
      <c r="H72" s="2">
        <v>8.3000000000000007</v>
      </c>
      <c r="I72" s="2">
        <f t="shared" si="1"/>
        <v>0</v>
      </c>
      <c r="J72" s="2">
        <v>0</v>
      </c>
      <c r="K72" s="2">
        <v>26000</v>
      </c>
      <c r="L72" s="3">
        <v>43531</v>
      </c>
    </row>
    <row r="73" spans="1:12">
      <c r="A73" s="1" t="s">
        <v>153</v>
      </c>
      <c r="B73" s="2" t="s">
        <v>154</v>
      </c>
      <c r="C73" s="2">
        <v>34</v>
      </c>
      <c r="D73" s="2" t="s">
        <v>8</v>
      </c>
      <c r="E73" s="2" t="s">
        <v>5</v>
      </c>
      <c r="F73" s="2">
        <v>59000</v>
      </c>
      <c r="G73" s="2">
        <v>9</v>
      </c>
      <c r="H73" s="2">
        <v>8.6999999999999993</v>
      </c>
      <c r="I73" s="2">
        <f t="shared" si="1"/>
        <v>6900</v>
      </c>
      <c r="J73" s="2">
        <v>138000</v>
      </c>
      <c r="K73" s="2">
        <v>48000</v>
      </c>
      <c r="L73" s="3">
        <v>42888</v>
      </c>
    </row>
    <row r="74" spans="1:12">
      <c r="A74" s="1" t="s">
        <v>155</v>
      </c>
      <c r="B74" s="2" t="s">
        <v>156</v>
      </c>
      <c r="C74" s="2">
        <v>27</v>
      </c>
      <c r="D74" s="2" t="s">
        <v>4</v>
      </c>
      <c r="E74" s="2" t="s">
        <v>9</v>
      </c>
      <c r="F74" s="2">
        <v>46000</v>
      </c>
      <c r="G74" s="2">
        <v>3</v>
      </c>
      <c r="H74" s="2">
        <v>7.9</v>
      </c>
      <c r="I74" s="2">
        <f t="shared" si="1"/>
        <v>4600</v>
      </c>
      <c r="J74" s="2">
        <v>92000</v>
      </c>
      <c r="K74" s="2">
        <v>33000</v>
      </c>
      <c r="L74" s="3">
        <v>44816</v>
      </c>
    </row>
    <row r="75" spans="1:12">
      <c r="A75" s="1" t="s">
        <v>157</v>
      </c>
      <c r="B75" s="2" t="s">
        <v>158</v>
      </c>
      <c r="C75" s="2">
        <v>38</v>
      </c>
      <c r="D75" s="2" t="s">
        <v>19</v>
      </c>
      <c r="E75" s="2" t="s">
        <v>22</v>
      </c>
      <c r="F75" s="2">
        <v>68000</v>
      </c>
      <c r="G75" s="2">
        <v>13</v>
      </c>
      <c r="H75" s="2">
        <v>9.1999999999999993</v>
      </c>
      <c r="I75" s="2">
        <f t="shared" si="1"/>
        <v>0</v>
      </c>
      <c r="J75" s="2">
        <v>0</v>
      </c>
      <c r="K75" s="2">
        <v>35000</v>
      </c>
      <c r="L75" s="3">
        <v>41597</v>
      </c>
    </row>
    <row r="76" spans="1:12">
      <c r="A76" s="1" t="s">
        <v>159</v>
      </c>
      <c r="B76" s="2" t="s">
        <v>160</v>
      </c>
      <c r="C76" s="2">
        <v>25</v>
      </c>
      <c r="D76" s="2" t="s">
        <v>12</v>
      </c>
      <c r="E76" s="2" t="s">
        <v>13</v>
      </c>
      <c r="F76" s="2">
        <v>39000</v>
      </c>
      <c r="G76" s="2">
        <v>1</v>
      </c>
      <c r="H76" s="2">
        <v>7.4</v>
      </c>
      <c r="I76" s="2">
        <f t="shared" si="1"/>
        <v>0</v>
      </c>
      <c r="J76" s="2">
        <v>0</v>
      </c>
      <c r="K76" s="2">
        <v>17000</v>
      </c>
      <c r="L76" s="3">
        <v>45296</v>
      </c>
    </row>
    <row r="77" spans="1:12">
      <c r="A77" s="1" t="s">
        <v>161</v>
      </c>
      <c r="B77" s="2" t="s">
        <v>162</v>
      </c>
      <c r="C77" s="2">
        <v>31</v>
      </c>
      <c r="D77" s="2" t="s">
        <v>4</v>
      </c>
      <c r="E77" s="2" t="s">
        <v>5</v>
      </c>
      <c r="F77" s="2">
        <v>54000</v>
      </c>
      <c r="G77" s="2">
        <v>7</v>
      </c>
      <c r="H77" s="2">
        <v>8.4</v>
      </c>
      <c r="I77" s="2">
        <f t="shared" si="1"/>
        <v>6050</v>
      </c>
      <c r="J77" s="2">
        <v>121000</v>
      </c>
      <c r="K77" s="2">
        <v>42000</v>
      </c>
      <c r="L77" s="3">
        <v>43303</v>
      </c>
    </row>
    <row r="78" spans="1:12">
      <c r="A78" s="1" t="s">
        <v>163</v>
      </c>
      <c r="B78" s="2" t="s">
        <v>164</v>
      </c>
      <c r="C78" s="2">
        <v>29</v>
      </c>
      <c r="D78" s="2" t="s">
        <v>8</v>
      </c>
      <c r="E78" s="2" t="s">
        <v>16</v>
      </c>
      <c r="F78" s="2">
        <v>49000</v>
      </c>
      <c r="G78" s="2">
        <v>5</v>
      </c>
      <c r="H78" s="2">
        <v>8.1999999999999993</v>
      </c>
      <c r="I78" s="2">
        <f t="shared" si="1"/>
        <v>0</v>
      </c>
      <c r="J78" s="2">
        <v>0</v>
      </c>
      <c r="K78" s="2">
        <v>25000</v>
      </c>
      <c r="L78" s="3">
        <v>44119</v>
      </c>
    </row>
    <row r="79" spans="1:12">
      <c r="A79" s="1" t="s">
        <v>165</v>
      </c>
      <c r="B79" s="2" t="s">
        <v>166</v>
      </c>
      <c r="C79" s="2">
        <v>35</v>
      </c>
      <c r="D79" s="2" t="s">
        <v>12</v>
      </c>
      <c r="E79" s="2" t="s">
        <v>9</v>
      </c>
      <c r="F79" s="2">
        <v>60000</v>
      </c>
      <c r="G79" s="2">
        <v>10</v>
      </c>
      <c r="H79" s="2">
        <v>8.9</v>
      </c>
      <c r="I79" s="2">
        <f t="shared" si="1"/>
        <v>5350</v>
      </c>
      <c r="J79" s="2">
        <v>107000</v>
      </c>
      <c r="K79" s="2">
        <v>39000</v>
      </c>
      <c r="L79" s="3">
        <v>42518</v>
      </c>
    </row>
    <row r="80" spans="1:12">
      <c r="A80" s="1" t="s">
        <v>167</v>
      </c>
      <c r="B80" s="2" t="s">
        <v>168</v>
      </c>
      <c r="C80" s="2">
        <v>32</v>
      </c>
      <c r="D80" s="2" t="s">
        <v>4</v>
      </c>
      <c r="E80" s="2" t="s">
        <v>22</v>
      </c>
      <c r="F80" s="2">
        <v>56000</v>
      </c>
      <c r="G80" s="2">
        <v>8</v>
      </c>
      <c r="H80" s="2">
        <v>8.5</v>
      </c>
      <c r="I80" s="2">
        <f t="shared" si="1"/>
        <v>0</v>
      </c>
      <c r="J80" s="2">
        <v>0</v>
      </c>
      <c r="K80" s="2">
        <v>28000</v>
      </c>
      <c r="L80" s="3">
        <v>43080</v>
      </c>
    </row>
    <row r="81" spans="1:12">
      <c r="A81" s="1" t="s">
        <v>169</v>
      </c>
      <c r="B81" s="2" t="s">
        <v>170</v>
      </c>
      <c r="C81" s="2">
        <v>26</v>
      </c>
      <c r="D81" s="2" t="s">
        <v>8</v>
      </c>
      <c r="E81" s="2" t="s">
        <v>13</v>
      </c>
      <c r="F81" s="2">
        <v>42000</v>
      </c>
      <c r="G81" s="2">
        <v>3</v>
      </c>
      <c r="H81" s="2">
        <v>7.8</v>
      </c>
      <c r="I81" s="2">
        <f t="shared" si="1"/>
        <v>0</v>
      </c>
      <c r="J81" s="2">
        <v>0</v>
      </c>
      <c r="K81" s="2">
        <v>20000</v>
      </c>
      <c r="L81" s="3">
        <v>44681</v>
      </c>
    </row>
    <row r="82" spans="1:12">
      <c r="A82" s="1" t="s">
        <v>171</v>
      </c>
      <c r="B82" s="2" t="s">
        <v>172</v>
      </c>
      <c r="C82" s="2">
        <v>37</v>
      </c>
      <c r="D82" s="2" t="s">
        <v>12</v>
      </c>
      <c r="E82" s="2" t="s">
        <v>5</v>
      </c>
      <c r="F82" s="2">
        <v>63000</v>
      </c>
      <c r="G82" s="2">
        <v>12</v>
      </c>
      <c r="H82" s="2">
        <v>9.1</v>
      </c>
      <c r="I82" s="2">
        <f t="shared" si="1"/>
        <v>7450</v>
      </c>
      <c r="J82" s="2">
        <v>149000</v>
      </c>
      <c r="K82" s="2">
        <v>51000</v>
      </c>
      <c r="L82" s="3">
        <v>41716</v>
      </c>
    </row>
    <row r="83" spans="1:12">
      <c r="A83" s="1" t="s">
        <v>173</v>
      </c>
      <c r="B83" s="2" t="s">
        <v>174</v>
      </c>
      <c r="C83" s="2">
        <v>28</v>
      </c>
      <c r="D83" s="2" t="s">
        <v>4</v>
      </c>
      <c r="E83" s="2" t="s">
        <v>9</v>
      </c>
      <c r="F83" s="2">
        <v>47000</v>
      </c>
      <c r="G83" s="2">
        <v>4</v>
      </c>
      <c r="H83" s="2">
        <v>8</v>
      </c>
      <c r="I83" s="2">
        <f t="shared" si="1"/>
        <v>4800</v>
      </c>
      <c r="J83" s="2">
        <v>96000</v>
      </c>
      <c r="K83" s="2">
        <v>34000</v>
      </c>
      <c r="L83" s="3">
        <v>44422</v>
      </c>
    </row>
    <row r="84" spans="1:12">
      <c r="A84" s="1" t="s">
        <v>175</v>
      </c>
      <c r="B84" s="2" t="s">
        <v>176</v>
      </c>
      <c r="C84" s="2">
        <v>33</v>
      </c>
      <c r="D84" s="2" t="s">
        <v>8</v>
      </c>
      <c r="E84" s="2" t="s">
        <v>22</v>
      </c>
      <c r="F84" s="2">
        <v>59000</v>
      </c>
      <c r="G84" s="2">
        <v>9</v>
      </c>
      <c r="H84" s="2">
        <v>8.6999999999999993</v>
      </c>
      <c r="I84" s="2">
        <f t="shared" si="1"/>
        <v>0</v>
      </c>
      <c r="J84" s="2">
        <v>0</v>
      </c>
      <c r="K84" s="2">
        <v>30000</v>
      </c>
      <c r="L84" s="3">
        <v>43015</v>
      </c>
    </row>
    <row r="85" spans="1:12">
      <c r="A85" s="1" t="s">
        <v>177</v>
      </c>
      <c r="B85" s="2" t="s">
        <v>178</v>
      </c>
      <c r="C85" s="2">
        <v>30</v>
      </c>
      <c r="D85" s="2" t="s">
        <v>12</v>
      </c>
      <c r="E85" s="2" t="s">
        <v>16</v>
      </c>
      <c r="F85" s="2">
        <v>52000</v>
      </c>
      <c r="G85" s="2">
        <v>6</v>
      </c>
      <c r="H85" s="2">
        <v>8.3000000000000007</v>
      </c>
      <c r="I85" s="2">
        <f t="shared" si="1"/>
        <v>0</v>
      </c>
      <c r="J85" s="2">
        <v>0</v>
      </c>
      <c r="K85" s="2">
        <v>26000</v>
      </c>
      <c r="L85" s="3">
        <v>43509</v>
      </c>
    </row>
    <row r="86" spans="1:12">
      <c r="A86" s="1" t="s">
        <v>179</v>
      </c>
      <c r="B86" s="2" t="s">
        <v>180</v>
      </c>
      <c r="C86" s="2">
        <v>36</v>
      </c>
      <c r="D86" s="2" t="s">
        <v>4</v>
      </c>
      <c r="E86" s="2" t="s">
        <v>5</v>
      </c>
      <c r="F86" s="2">
        <v>61000</v>
      </c>
      <c r="G86" s="2">
        <v>10</v>
      </c>
      <c r="H86" s="2">
        <v>9</v>
      </c>
      <c r="I86" s="2">
        <f t="shared" si="1"/>
        <v>7000</v>
      </c>
      <c r="J86" s="2">
        <v>140000</v>
      </c>
      <c r="K86" s="2">
        <v>49000</v>
      </c>
      <c r="L86" s="3">
        <v>42617</v>
      </c>
    </row>
    <row r="87" spans="1:12">
      <c r="A87" s="1" t="s">
        <v>181</v>
      </c>
      <c r="B87" s="2" t="s">
        <v>182</v>
      </c>
      <c r="C87" s="2">
        <v>27</v>
      </c>
      <c r="D87" s="2" t="s">
        <v>8</v>
      </c>
      <c r="E87" s="2" t="s">
        <v>13</v>
      </c>
      <c r="F87" s="2">
        <v>41000</v>
      </c>
      <c r="G87" s="2">
        <v>3</v>
      </c>
      <c r="H87" s="2">
        <v>7.7</v>
      </c>
      <c r="I87" s="2">
        <f t="shared" si="1"/>
        <v>0</v>
      </c>
      <c r="J87" s="2">
        <v>0</v>
      </c>
      <c r="K87" s="2">
        <v>20000</v>
      </c>
      <c r="L87" s="3">
        <v>44697</v>
      </c>
    </row>
    <row r="88" spans="1:12">
      <c r="A88" s="1" t="s">
        <v>183</v>
      </c>
      <c r="B88" s="2" t="s">
        <v>184</v>
      </c>
      <c r="C88" s="2">
        <v>31</v>
      </c>
      <c r="D88" s="2" t="s">
        <v>12</v>
      </c>
      <c r="E88" s="2" t="s">
        <v>9</v>
      </c>
      <c r="F88" s="2">
        <v>54000</v>
      </c>
      <c r="G88" s="2">
        <v>7</v>
      </c>
      <c r="H88" s="2">
        <v>8.4</v>
      </c>
      <c r="I88" s="2">
        <f t="shared" si="1"/>
        <v>5000</v>
      </c>
      <c r="J88" s="2">
        <v>100000</v>
      </c>
      <c r="K88" s="2">
        <v>36000</v>
      </c>
      <c r="L88" s="3">
        <v>43128</v>
      </c>
    </row>
    <row r="89" spans="1:12">
      <c r="A89" s="1" t="s">
        <v>185</v>
      </c>
      <c r="B89" s="2" t="s">
        <v>186</v>
      </c>
      <c r="C89" s="2">
        <v>39</v>
      </c>
      <c r="D89" s="2" t="s">
        <v>4</v>
      </c>
      <c r="E89" s="2" t="s">
        <v>22</v>
      </c>
      <c r="F89" s="2">
        <v>70000</v>
      </c>
      <c r="G89" s="2">
        <v>14</v>
      </c>
      <c r="H89" s="2">
        <v>9.3000000000000007</v>
      </c>
      <c r="I89" s="2">
        <f t="shared" si="1"/>
        <v>0</v>
      </c>
      <c r="J89" s="2">
        <v>0</v>
      </c>
      <c r="K89" s="2">
        <v>35000</v>
      </c>
      <c r="L89" s="3">
        <v>41082</v>
      </c>
    </row>
    <row r="90" spans="1:12">
      <c r="A90" s="1" t="s">
        <v>187</v>
      </c>
      <c r="B90" s="2" t="s">
        <v>188</v>
      </c>
      <c r="C90" s="2">
        <v>28</v>
      </c>
      <c r="D90" s="2" t="s">
        <v>8</v>
      </c>
      <c r="E90" s="2" t="s">
        <v>16</v>
      </c>
      <c r="F90" s="2">
        <v>48000</v>
      </c>
      <c r="G90" s="2">
        <v>4</v>
      </c>
      <c r="H90" s="2">
        <v>8.1</v>
      </c>
      <c r="I90" s="2">
        <f t="shared" si="1"/>
        <v>0</v>
      </c>
      <c r="J90" s="2">
        <v>0</v>
      </c>
      <c r="K90" s="2">
        <v>24000</v>
      </c>
      <c r="L90" s="3">
        <v>44264</v>
      </c>
    </row>
    <row r="91" spans="1:12">
      <c r="A91" s="1" t="s">
        <v>189</v>
      </c>
      <c r="B91" s="2" t="s">
        <v>190</v>
      </c>
      <c r="C91" s="2">
        <v>34</v>
      </c>
      <c r="D91" s="2" t="s">
        <v>12</v>
      </c>
      <c r="E91" s="2" t="s">
        <v>5</v>
      </c>
      <c r="F91" s="2">
        <v>58000</v>
      </c>
      <c r="G91" s="2">
        <v>9</v>
      </c>
      <c r="H91" s="2">
        <v>8.6999999999999993</v>
      </c>
      <c r="I91" s="2">
        <f t="shared" si="1"/>
        <v>6700</v>
      </c>
      <c r="J91" s="2">
        <v>134000</v>
      </c>
      <c r="K91" s="2">
        <v>47000</v>
      </c>
      <c r="L91" s="3">
        <v>42882</v>
      </c>
    </row>
    <row r="92" spans="1:12">
      <c r="A92" s="1" t="s">
        <v>191</v>
      </c>
      <c r="B92" s="2" t="s">
        <v>192</v>
      </c>
      <c r="C92" s="2">
        <v>26</v>
      </c>
      <c r="D92" s="2" t="s">
        <v>4</v>
      </c>
      <c r="E92" s="2" t="s">
        <v>9</v>
      </c>
      <c r="F92" s="2">
        <v>44000</v>
      </c>
      <c r="G92" s="2">
        <v>3</v>
      </c>
      <c r="H92" s="2">
        <v>7.8</v>
      </c>
      <c r="I92" s="2">
        <f t="shared" si="1"/>
        <v>4550</v>
      </c>
      <c r="J92" s="2">
        <v>91000</v>
      </c>
      <c r="K92" s="2">
        <v>32000</v>
      </c>
      <c r="L92" s="3">
        <v>44896</v>
      </c>
    </row>
    <row r="93" spans="1:12">
      <c r="A93" s="1" t="s">
        <v>193</v>
      </c>
      <c r="B93" s="2" t="s">
        <v>194</v>
      </c>
      <c r="C93" s="2">
        <v>35</v>
      </c>
      <c r="D93" s="2" t="s">
        <v>8</v>
      </c>
      <c r="E93" s="2" t="s">
        <v>22</v>
      </c>
      <c r="F93" s="2">
        <v>61000</v>
      </c>
      <c r="G93" s="2">
        <v>10</v>
      </c>
      <c r="H93" s="2">
        <v>8.9</v>
      </c>
      <c r="I93" s="2">
        <f t="shared" si="1"/>
        <v>0</v>
      </c>
      <c r="J93" s="2">
        <v>0</v>
      </c>
      <c r="K93" s="2">
        <v>31000</v>
      </c>
      <c r="L93" s="3">
        <v>42477</v>
      </c>
    </row>
    <row r="94" spans="1:12">
      <c r="A94" s="1" t="s">
        <v>195</v>
      </c>
      <c r="B94" s="2" t="s">
        <v>196</v>
      </c>
      <c r="C94" s="2">
        <v>29</v>
      </c>
      <c r="D94" s="2" t="s">
        <v>12</v>
      </c>
      <c r="E94" s="2" t="s">
        <v>13</v>
      </c>
      <c r="F94" s="2">
        <v>45000</v>
      </c>
      <c r="G94" s="2">
        <v>5</v>
      </c>
      <c r="H94" s="2">
        <v>8.1</v>
      </c>
      <c r="I94" s="2">
        <f t="shared" si="1"/>
        <v>0</v>
      </c>
      <c r="J94" s="2">
        <v>0</v>
      </c>
      <c r="K94" s="2">
        <v>21000</v>
      </c>
      <c r="L94" s="3">
        <v>44041</v>
      </c>
    </row>
    <row r="95" spans="1:12">
      <c r="A95" s="1" t="s">
        <v>197</v>
      </c>
      <c r="B95" s="2" t="s">
        <v>198</v>
      </c>
      <c r="C95" s="2">
        <v>33</v>
      </c>
      <c r="D95" s="2" t="s">
        <v>4</v>
      </c>
      <c r="E95" s="2" t="s">
        <v>5</v>
      </c>
      <c r="F95" s="2">
        <v>56000</v>
      </c>
      <c r="G95" s="2">
        <v>8</v>
      </c>
      <c r="H95" s="2">
        <v>8.6</v>
      </c>
      <c r="I95" s="2">
        <f t="shared" si="1"/>
        <v>6300</v>
      </c>
      <c r="J95" s="2">
        <v>126000</v>
      </c>
      <c r="K95" s="2">
        <v>44000</v>
      </c>
      <c r="L95" s="3">
        <v>43165</v>
      </c>
    </row>
    <row r="96" spans="1:12">
      <c r="A96" s="1" t="s">
        <v>199</v>
      </c>
      <c r="B96" s="2" t="s">
        <v>200</v>
      </c>
      <c r="C96" s="2">
        <v>25</v>
      </c>
      <c r="D96" s="2" t="s">
        <v>8</v>
      </c>
      <c r="E96" s="2" t="s">
        <v>16</v>
      </c>
      <c r="F96" s="2">
        <v>42000</v>
      </c>
      <c r="G96" s="2">
        <v>2</v>
      </c>
      <c r="H96" s="2">
        <v>7.5</v>
      </c>
      <c r="I96" s="2">
        <f t="shared" si="1"/>
        <v>0</v>
      </c>
      <c r="J96" s="2">
        <v>0</v>
      </c>
      <c r="K96" s="2">
        <v>22000</v>
      </c>
      <c r="L96" s="3">
        <v>45089</v>
      </c>
    </row>
    <row r="97" spans="1:12">
      <c r="A97" s="1" t="s">
        <v>201</v>
      </c>
      <c r="B97" s="2" t="s">
        <v>202</v>
      </c>
      <c r="C97" s="2">
        <v>37</v>
      </c>
      <c r="D97" s="2" t="s">
        <v>12</v>
      </c>
      <c r="E97" s="2" t="s">
        <v>9</v>
      </c>
      <c r="F97" s="2">
        <v>62000</v>
      </c>
      <c r="G97" s="2">
        <v>11</v>
      </c>
      <c r="H97" s="2">
        <v>9</v>
      </c>
      <c r="I97" s="2">
        <f t="shared" si="1"/>
        <v>5400</v>
      </c>
      <c r="J97" s="2">
        <v>108000</v>
      </c>
      <c r="K97" s="2">
        <v>39000</v>
      </c>
      <c r="L97" s="3">
        <v>42261</v>
      </c>
    </row>
    <row r="98" spans="1:12">
      <c r="A98" s="1" t="s">
        <v>203</v>
      </c>
      <c r="B98" s="2" t="s">
        <v>204</v>
      </c>
      <c r="C98" s="2">
        <v>31</v>
      </c>
      <c r="D98" s="2" t="s">
        <v>4</v>
      </c>
      <c r="E98" s="2" t="s">
        <v>22</v>
      </c>
      <c r="F98" s="2">
        <v>54000</v>
      </c>
      <c r="G98" s="2">
        <v>7</v>
      </c>
      <c r="H98" s="2">
        <v>8.4</v>
      </c>
      <c r="I98" s="2">
        <f t="shared" si="1"/>
        <v>0</v>
      </c>
      <c r="J98" s="2">
        <v>0</v>
      </c>
      <c r="K98" s="2">
        <v>27000</v>
      </c>
      <c r="L98" s="3">
        <v>43152</v>
      </c>
    </row>
    <row r="99" spans="1:12">
      <c r="A99" s="1" t="s">
        <v>205</v>
      </c>
      <c r="B99" s="2" t="s">
        <v>206</v>
      </c>
      <c r="C99" s="2">
        <v>28</v>
      </c>
      <c r="D99" s="2" t="s">
        <v>8</v>
      </c>
      <c r="E99" s="2" t="s">
        <v>13</v>
      </c>
      <c r="F99" s="2">
        <v>43000</v>
      </c>
      <c r="G99" s="2">
        <v>4</v>
      </c>
      <c r="H99" s="2">
        <v>7.9</v>
      </c>
      <c r="I99" s="2">
        <f t="shared" si="1"/>
        <v>0</v>
      </c>
      <c r="J99" s="2">
        <v>0</v>
      </c>
      <c r="K99" s="2">
        <v>21000</v>
      </c>
      <c r="L99" s="3">
        <v>44382</v>
      </c>
    </row>
    <row r="100" spans="1:12">
      <c r="A100" s="1" t="s">
        <v>207</v>
      </c>
      <c r="B100" s="2" t="s">
        <v>208</v>
      </c>
      <c r="C100" s="2">
        <v>34</v>
      </c>
      <c r="D100" s="2" t="s">
        <v>12</v>
      </c>
      <c r="E100" s="2" t="s">
        <v>5</v>
      </c>
      <c r="F100" s="2">
        <v>59000</v>
      </c>
      <c r="G100" s="2">
        <v>9</v>
      </c>
      <c r="H100" s="2">
        <v>8.6999999999999993</v>
      </c>
      <c r="I100" s="2">
        <f t="shared" si="1"/>
        <v>6850</v>
      </c>
      <c r="J100" s="2">
        <v>137000</v>
      </c>
      <c r="K100" s="2">
        <v>48000</v>
      </c>
      <c r="L100" s="3">
        <v>43057</v>
      </c>
    </row>
    <row r="101" spans="1:12">
      <c r="A101" s="1" t="s">
        <v>209</v>
      </c>
      <c r="B101" s="2" t="s">
        <v>210</v>
      </c>
      <c r="C101" s="2">
        <v>30</v>
      </c>
      <c r="D101" s="2" t="s">
        <v>4</v>
      </c>
      <c r="E101" s="2" t="s">
        <v>16</v>
      </c>
      <c r="F101" s="2">
        <v>52000</v>
      </c>
      <c r="G101" s="2">
        <v>6</v>
      </c>
      <c r="H101" s="2">
        <v>8.3000000000000007</v>
      </c>
      <c r="I101" s="2">
        <f t="shared" si="1"/>
        <v>0</v>
      </c>
      <c r="J101" s="2">
        <v>0</v>
      </c>
      <c r="K101" s="2">
        <v>26000</v>
      </c>
      <c r="L101" s="3">
        <v>43475</v>
      </c>
    </row>
    <row r="102" spans="1:12">
      <c r="F102">
        <f>SUBTOTAL(9,F2:F101)</f>
        <v>5272000</v>
      </c>
    </row>
  </sheetData>
  <autoFilter ref="A1:L10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E119-29EB-4BC7-823D-2FC6B6F07C91}">
  <dimension ref="A1:J13"/>
  <sheetViews>
    <sheetView tabSelected="1" workbookViewId="0">
      <selection activeCell="E8" sqref="E8"/>
    </sheetView>
  </sheetViews>
  <sheetFormatPr defaultRowHeight="14.5"/>
  <cols>
    <col min="1" max="1" width="17.1796875" bestFit="1" customWidth="1"/>
    <col min="4" max="4" width="22.08984375" bestFit="1" customWidth="1"/>
    <col min="5" max="5" width="15.08984375" bestFit="1" customWidth="1"/>
    <col min="6" max="6" width="9.36328125" bestFit="1" customWidth="1"/>
    <col min="7" max="7" width="16.08984375" bestFit="1" customWidth="1"/>
    <col min="8" max="8" width="11.08984375" bestFit="1" customWidth="1"/>
    <col min="9" max="9" width="19.1796875" bestFit="1" customWidth="1"/>
    <col min="10" max="10" width="24.08984375" bestFit="1" customWidth="1"/>
  </cols>
  <sheetData>
    <row r="1" spans="1:10">
      <c r="D1" s="6" t="s">
        <v>221</v>
      </c>
      <c r="F1" s="6" t="s">
        <v>214</v>
      </c>
      <c r="H1" s="6" t="s">
        <v>215</v>
      </c>
      <c r="J1" s="6"/>
    </row>
    <row r="2" spans="1:10">
      <c r="A2" t="s">
        <v>212</v>
      </c>
      <c r="D2" t="s">
        <v>230</v>
      </c>
      <c r="F2" s="8" t="s">
        <v>236</v>
      </c>
      <c r="H2" t="s">
        <v>237</v>
      </c>
    </row>
    <row r="3" spans="1:10">
      <c r="A3" t="s">
        <v>213</v>
      </c>
      <c r="D3" t="s">
        <v>222</v>
      </c>
      <c r="F3" s="8" t="s">
        <v>225</v>
      </c>
      <c r="H3" t="s">
        <v>226</v>
      </c>
    </row>
    <row r="4" spans="1:10">
      <c r="A4" t="s">
        <v>214</v>
      </c>
      <c r="D4" t="s">
        <v>223</v>
      </c>
    </row>
    <row r="5" spans="1:10">
      <c r="A5" t="s">
        <v>215</v>
      </c>
      <c r="D5" t="s">
        <v>224</v>
      </c>
    </row>
    <row r="6" spans="1:10">
      <c r="A6" t="s">
        <v>216</v>
      </c>
      <c r="D6" t="s">
        <v>227</v>
      </c>
    </row>
    <row r="7" spans="1:10">
      <c r="A7" t="s">
        <v>217</v>
      </c>
      <c r="D7" t="s">
        <v>228</v>
      </c>
    </row>
    <row r="8" spans="1:10">
      <c r="A8" t="s">
        <v>218</v>
      </c>
      <c r="D8" t="s">
        <v>233</v>
      </c>
    </row>
    <row r="9" spans="1:10">
      <c r="A9" t="s">
        <v>220</v>
      </c>
      <c r="D9" t="s">
        <v>234</v>
      </c>
    </row>
    <row r="10" spans="1:10">
      <c r="A10" t="s">
        <v>0</v>
      </c>
      <c r="D10" t="s">
        <v>235</v>
      </c>
    </row>
    <row r="11" spans="1:10">
      <c r="A11" t="s">
        <v>1</v>
      </c>
      <c r="D11" t="s">
        <v>229</v>
      </c>
    </row>
    <row r="12" spans="1:10">
      <c r="A12" t="s">
        <v>219</v>
      </c>
      <c r="D12" t="s">
        <v>231</v>
      </c>
      <c r="E12" s="6"/>
      <c r="G12" s="6"/>
      <c r="I12" s="6"/>
    </row>
    <row r="13" spans="1:10">
      <c r="D13" t="s">
        <v>232</v>
      </c>
      <c r="E13" s="7"/>
      <c r="I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tanwar</cp:lastModifiedBy>
  <dcterms:created xsi:type="dcterms:W3CDTF">2026-03-17T13:10:59Z</dcterms:created>
  <dcterms:modified xsi:type="dcterms:W3CDTF">2026-05-08T13:46:03Z</dcterms:modified>
</cp:coreProperties>
</file>